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B\"/>
    </mc:Choice>
  </mc:AlternateContent>
  <xr:revisionPtr revIDLastSave="0" documentId="13_ncr:1_{E82D1157-BA56-4233-BAAC-D50B3C72038A}" xr6:coauthVersionLast="47" xr6:coauthVersionMax="47" xr10:uidLastSave="{00000000-0000-0000-0000-000000000000}"/>
  <bookViews>
    <workbookView xWindow="-120" yWindow="-120" windowWidth="29040" windowHeight="15720" xr2:uid="{21B2CAF4-0564-49B6-9545-A6CCE7A1CC09}"/>
  </bookViews>
  <sheets>
    <sheet name="Φύλλο1" sheetId="1" r:id="rId1"/>
  </sheets>
  <calcPr calcId="191029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K23" i="1"/>
  <c r="J23" i="1"/>
  <c r="I23" i="1"/>
  <c r="H23" i="1"/>
  <c r="G23" i="1"/>
  <c r="F23" i="1"/>
  <c r="E23" i="1"/>
  <c r="D23" i="1"/>
  <c r="B23" i="1"/>
  <c r="H21" i="1"/>
  <c r="H20" i="1"/>
  <c r="H19" i="1"/>
  <c r="K18" i="1"/>
  <c r="J18" i="1"/>
  <c r="I18" i="1"/>
  <c r="H18" i="1"/>
  <c r="G18" i="1"/>
  <c r="F18" i="1"/>
  <c r="E18" i="1"/>
  <c r="D18" i="1"/>
  <c r="C18" i="1"/>
  <c r="B18" i="1"/>
  <c r="H15" i="1"/>
  <c r="H14" i="1"/>
  <c r="H13" i="1"/>
  <c r="H12" i="1"/>
  <c r="H11" i="1"/>
  <c r="H10" i="1"/>
  <c r="H9" i="1"/>
  <c r="H8" i="1"/>
  <c r="B4" i="1"/>
  <c r="B5" i="1" l="1"/>
  <c r="I15" i="1" s="1"/>
  <c r="B15" i="1" s="1"/>
  <c r="C15" i="1" l="1"/>
  <c r="J15" i="1"/>
  <c r="I11" i="1" l="1"/>
  <c r="B11" i="1" s="1"/>
  <c r="C11" i="1" l="1"/>
  <c r="J11" i="1"/>
  <c r="I9" i="1" l="1"/>
  <c r="B9" i="1" s="1"/>
  <c r="C9" i="1" l="1"/>
  <c r="J9" i="1"/>
  <c r="I14" i="1" l="1"/>
  <c r="B14" i="1" s="1"/>
  <c r="C14" i="1" l="1"/>
  <c r="J14" i="1"/>
  <c r="I13" i="1" l="1"/>
  <c r="B13" i="1" s="1"/>
  <c r="J13" i="1" l="1"/>
  <c r="C13" i="1"/>
  <c r="I19" i="1" l="1"/>
  <c r="B19" i="1" s="1"/>
  <c r="I10" i="1"/>
  <c r="B10" i="1" s="1"/>
  <c r="J10" i="1" l="1"/>
  <c r="C10" i="1"/>
  <c r="J19" i="1"/>
  <c r="C19" i="1"/>
  <c r="I20" i="1" l="1"/>
  <c r="B20" i="1" s="1"/>
  <c r="I24" i="1"/>
  <c r="I8" i="1"/>
  <c r="B8" i="1" s="1"/>
  <c r="B24" i="1" l="1"/>
  <c r="J24" i="1" s="1"/>
  <c r="I25" i="1" s="1"/>
  <c r="B25" i="1" s="1"/>
  <c r="J25" i="1" s="1"/>
  <c r="J8" i="1"/>
  <c r="C8" i="1"/>
  <c r="J20" i="1"/>
  <c r="I21" i="1" s="1"/>
  <c r="B21" i="1" s="1"/>
  <c r="C20" i="1"/>
  <c r="J21" i="1" l="1"/>
  <c r="C21" i="1"/>
  <c r="I12" i="1"/>
  <c r="B12" i="1" s="1"/>
  <c r="J12" i="1" l="1"/>
  <c r="C12" i="1"/>
  <c r="C16" i="1" s="1"/>
  <c r="B3" i="1" s="1"/>
  <c r="C3" i="1" s="1"/>
  <c r="B16" i="1"/>
  <c r="D12" i="1" l="1"/>
  <c r="D9" i="1"/>
  <c r="D13" i="1"/>
  <c r="D2" i="1"/>
  <c r="D14" i="1"/>
  <c r="D10" i="1"/>
  <c r="D8" i="1"/>
  <c r="D15" i="1"/>
  <c r="D11" i="1"/>
</calcChain>
</file>

<file path=xl/sharedStrings.xml><?xml version="1.0" encoding="utf-8"?>
<sst xmlns="http://schemas.openxmlformats.org/spreadsheetml/2006/main" count="32" uniqueCount="32">
  <si>
    <t>Target Leadership</t>
  </si>
  <si>
    <t>HEALTH RATIO (MAX/MIN)</t>
  </si>
  <si>
    <t>Target Leadership:</t>
  </si>
  <si>
    <t>Calculated Leadership:</t>
  </si>
  <si>
    <t>Ratio</t>
  </si>
  <si>
    <t>Target Max Health</t>
  </si>
  <si>
    <t>Normal Troops</t>
  </si>
  <si>
    <t>Army</t>
  </si>
  <si>
    <t>Leadership</t>
  </si>
  <si>
    <t>Rank</t>
  </si>
  <si>
    <t>Leadership per Active Troop</t>
  </si>
  <si>
    <t>Troop Base Health</t>
  </si>
  <si>
    <t>INPUT Troop Health Bonus</t>
  </si>
  <si>
    <t>Total Health Bonus</t>
  </si>
  <si>
    <t>Target Health per Stack</t>
  </si>
  <si>
    <t>Actual Health per Stack</t>
  </si>
  <si>
    <t>Troop Level</t>
  </si>
  <si>
    <t>G6 Flyings</t>
  </si>
  <si>
    <t>G6 Mounted</t>
  </si>
  <si>
    <t>G6 Ranged</t>
  </si>
  <si>
    <t>G6 Melee</t>
  </si>
  <si>
    <t>G5 Flyings</t>
  </si>
  <si>
    <t>G5 Mounted</t>
  </si>
  <si>
    <t>G5 Ranged</t>
  </si>
  <si>
    <t>G5 Melee</t>
  </si>
  <si>
    <t>M6 Jungle Melee</t>
  </si>
  <si>
    <t>M5 Ettin Melee</t>
  </si>
  <si>
    <t>M4 Phoenix Flyings</t>
  </si>
  <si>
    <t>Mercs</t>
  </si>
  <si>
    <t>Authority</t>
  </si>
  <si>
    <t>Epic Monster Hunter (Green)</t>
  </si>
  <si>
    <t>Epic Monster Hunter (Yellow)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</si>
</sst>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%"/>
    <numFmt numFmtId="166" formatCode="0.000"/>
    <numFmt numFmtId="167" formatCode="#,##0.0"/>
  </numFmts>
  <fonts count="6" x14ac:knownFonts="1">
    <font>
      <sz val="11"/>
      <color theme="1"/>
      <name val="Aptos"/>
      <family val="2"/>
      <charset val="161"/>
    </font>
    <font>
      <b/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"/>
      <family val="2"/>
    </font>
    <font>
      <b/>
      <sz val="11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1" applyFont="1" applyAlignment="1">
      <alignment horizontal="left"/>
    </xf>
    <xf numFmtId="3" fontId="0" fillId="2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3" fontId="5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2" borderId="0" xfId="0" applyNumberFormat="1" applyFill="1"/>
    <xf numFmtId="3" fontId="1" fillId="0" borderId="0" xfId="0" applyNumberFormat="1" applyFont="1"/>
    <xf numFmtId="0" fontId="1" fillId="0" borderId="0" xfId="0" applyFont="1" applyAlignment="1">
      <alignment horizontal="center"/>
    </xf>
    <xf numFmtId="164" fontId="4" fillId="3" borderId="0" xfId="0" applyNumberFormat="1" applyFont="1" applyFill="1" applyAlignment="1">
      <alignment horizontal="center"/>
    </xf>
  </cellXfs>
  <cellStyles count="2">
    <cellStyle name="Κανονικό" xfId="0" builtinId="0"/>
    <cellStyle name="Κανονικό 2" xfId="1" xr:uid="{452906C5-6F6F-4615-996E-9C579CC9D1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19C6-48D7-4A8C-95C1-4D6443306AA4}">
  <dimension ref="A1:M25"/>
  <sheetViews>
    <sheetView tabSelected="1" workbookViewId="0">
      <selection activeCell="B8" sqref="B8"/>
    </sheetView>
  </sheetViews>
  <sheetFormatPr defaultRowHeight="15" x14ac:dyDescent="0.25"/>
  <cols>
    <col min="1" max="1" width="25.625" customWidth="1"/>
    <col min="2" max="2" width="11.125" customWidth="1"/>
    <col min="3" max="3" width="10.5" bestFit="1" customWidth="1"/>
    <col min="4" max="4" width="9.625" customWidth="1"/>
    <col min="5" max="5" width="14.375" customWidth="1"/>
    <col min="6" max="6" width="16.375" customWidth="1"/>
    <col min="7" max="7" width="12.375" bestFit="1" customWidth="1"/>
    <col min="9" max="10" width="10.875" bestFit="1" customWidth="1"/>
    <col min="15" max="15" width="9.875" bestFit="1" customWidth="1"/>
  </cols>
  <sheetData>
    <row r="1" spans="1:13" x14ac:dyDescent="0.25">
      <c r="A1" t="s">
        <v>0</v>
      </c>
      <c r="D1" s="16" t="s">
        <v>1</v>
      </c>
      <c r="E1" s="16"/>
      <c r="F1" s="1"/>
      <c r="G1" s="2"/>
    </row>
    <row r="2" spans="1:13" ht="15.75" x14ac:dyDescent="0.25">
      <c r="A2" s="3" t="s">
        <v>2</v>
      </c>
      <c r="B2" s="4">
        <v>46800</v>
      </c>
      <c r="D2" s="17">
        <f>+MAX(J8:J15)/MIN(J8:J15)</f>
        <v>1.0310722561617864</v>
      </c>
      <c r="E2" s="17"/>
      <c r="F2" s="3"/>
      <c r="G2" s="5"/>
      <c r="I2" s="3"/>
      <c r="J2" s="6"/>
      <c r="K2" s="7"/>
      <c r="M2" s="8"/>
    </row>
    <row r="3" spans="1:13" x14ac:dyDescent="0.25">
      <c r="A3" s="3" t="s">
        <v>3</v>
      </c>
      <c r="B3" s="5">
        <f>+C16</f>
        <v>46520</v>
      </c>
      <c r="C3" s="9">
        <f>+B2-B3</f>
        <v>280</v>
      </c>
      <c r="F3" s="3"/>
      <c r="G3" s="2"/>
      <c r="H3" s="2"/>
      <c r="I3" s="3"/>
      <c r="J3" s="6"/>
      <c r="K3" s="7"/>
      <c r="M3" s="8"/>
    </row>
    <row r="4" spans="1:13" x14ac:dyDescent="0.25">
      <c r="A4" t="s">
        <v>4</v>
      </c>
      <c r="B4" s="7">
        <f>+IF(G15&lt;=G14,16.1%,16.1%/(G15/AVERAGE(G8:G14)))</f>
        <v>0.161</v>
      </c>
      <c r="F4" s="3"/>
      <c r="G4" s="2"/>
      <c r="H4" s="10"/>
    </row>
    <row r="5" spans="1:13" x14ac:dyDescent="0.25">
      <c r="A5" s="3" t="s">
        <v>5</v>
      </c>
      <c r="B5" s="11">
        <f>+B4*B2*H15/E15</f>
        <v>11754288</v>
      </c>
    </row>
    <row r="6" spans="1:13" x14ac:dyDescent="0.25">
      <c r="A6" s="3"/>
      <c r="B6" s="11"/>
    </row>
    <row r="7" spans="1:13" s="13" customFormat="1" ht="45" x14ac:dyDescent="0.25">
      <c r="A7" s="12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</row>
    <row r="8" spans="1:13" x14ac:dyDescent="0.25">
      <c r="A8" t="s">
        <v>17</v>
      </c>
      <c r="B8" s="11">
        <f t="shared" ref="B8:B15" si="0">+ROUNDDOWN(I8/H8,-1)</f>
        <v>200</v>
      </c>
      <c r="C8" s="11">
        <f t="shared" ref="C8:C15" si="1">+B8*E8</f>
        <v>4000</v>
      </c>
      <c r="D8">
        <f t="shared" ref="D8:D15" si="2">+RANK(J8,$J$8:$J$15)</f>
        <v>7</v>
      </c>
      <c r="E8">
        <v>20</v>
      </c>
      <c r="F8" s="11">
        <v>57000</v>
      </c>
      <c r="G8" s="14">
        <v>0</v>
      </c>
      <c r="H8" s="11">
        <f>+F8*(1+G8)</f>
        <v>57000</v>
      </c>
      <c r="I8" s="11">
        <f>+J10*(1-0.01%)</f>
        <v>11626837.199999999</v>
      </c>
      <c r="J8" s="11">
        <f t="shared" ref="J8:J15" si="3">+B8*H8</f>
        <v>11400000</v>
      </c>
      <c r="K8" s="2">
        <v>6</v>
      </c>
    </row>
    <row r="9" spans="1:13" x14ac:dyDescent="0.25">
      <c r="A9" t="s">
        <v>21</v>
      </c>
      <c r="B9" s="11">
        <f t="shared" si="0"/>
        <v>390</v>
      </c>
      <c r="C9" s="11">
        <f t="shared" si="1"/>
        <v>7800</v>
      </c>
      <c r="D9">
        <f t="shared" si="2"/>
        <v>3</v>
      </c>
      <c r="E9">
        <v>20</v>
      </c>
      <c r="F9" s="11">
        <v>30000</v>
      </c>
      <c r="G9" s="14">
        <v>0</v>
      </c>
      <c r="H9" s="11">
        <f t="shared" ref="H9:H15" si="4">+F9*(1+G9)</f>
        <v>30000</v>
      </c>
      <c r="I9" s="11">
        <f>+J11*(1-0.01%)</f>
        <v>11716828.199999999</v>
      </c>
      <c r="J9" s="11">
        <f t="shared" si="3"/>
        <v>11700000</v>
      </c>
      <c r="K9" s="2">
        <v>5</v>
      </c>
    </row>
    <row r="10" spans="1:13" x14ac:dyDescent="0.25">
      <c r="A10" t="s">
        <v>18</v>
      </c>
      <c r="B10" s="11">
        <f t="shared" si="0"/>
        <v>2040</v>
      </c>
      <c r="C10" s="11">
        <f t="shared" si="1"/>
        <v>4080</v>
      </c>
      <c r="D10">
        <f t="shared" si="2"/>
        <v>6</v>
      </c>
      <c r="E10">
        <v>2</v>
      </c>
      <c r="F10" s="11">
        <v>5700</v>
      </c>
      <c r="G10" s="14">
        <v>0</v>
      </c>
      <c r="H10" s="11">
        <f t="shared" si="4"/>
        <v>5700</v>
      </c>
      <c r="I10" s="11">
        <f>+J13*(1-0.01%)</f>
        <v>11673632.52</v>
      </c>
      <c r="J10" s="11">
        <f t="shared" si="3"/>
        <v>11628000</v>
      </c>
      <c r="K10" s="2">
        <v>6</v>
      </c>
    </row>
    <row r="11" spans="1:13" x14ac:dyDescent="0.25">
      <c r="A11" t="s">
        <v>22</v>
      </c>
      <c r="B11" s="11">
        <f t="shared" si="0"/>
        <v>3720</v>
      </c>
      <c r="C11" s="11">
        <f t="shared" si="1"/>
        <v>7440</v>
      </c>
      <c r="D11">
        <f t="shared" si="2"/>
        <v>2</v>
      </c>
      <c r="E11">
        <v>2</v>
      </c>
      <c r="F11" s="11">
        <v>3150</v>
      </c>
      <c r="G11" s="14">
        <v>0</v>
      </c>
      <c r="H11" s="11">
        <f t="shared" si="4"/>
        <v>3150</v>
      </c>
      <c r="I11" s="11">
        <f>+J15*(1-0.01%)</f>
        <v>11745625.32</v>
      </c>
      <c r="J11" s="11">
        <f t="shared" si="3"/>
        <v>11718000</v>
      </c>
      <c r="K11" s="2">
        <v>5</v>
      </c>
    </row>
    <row r="12" spans="1:13" x14ac:dyDescent="0.25">
      <c r="A12" t="s">
        <v>19</v>
      </c>
      <c r="B12" s="11">
        <f t="shared" si="0"/>
        <v>4040</v>
      </c>
      <c r="C12" s="11">
        <f t="shared" si="1"/>
        <v>4040</v>
      </c>
      <c r="D12">
        <f t="shared" si="2"/>
        <v>8</v>
      </c>
      <c r="E12">
        <v>1</v>
      </c>
      <c r="F12" s="11">
        <v>2820</v>
      </c>
      <c r="G12" s="14">
        <v>0</v>
      </c>
      <c r="H12" s="11">
        <f t="shared" si="4"/>
        <v>2820</v>
      </c>
      <c r="I12" s="11">
        <f>+J8*(1-0.01%)</f>
        <v>11398860</v>
      </c>
      <c r="J12" s="11">
        <f t="shared" si="3"/>
        <v>11392800</v>
      </c>
      <c r="K12" s="2">
        <v>6</v>
      </c>
    </row>
    <row r="13" spans="1:13" x14ac:dyDescent="0.25">
      <c r="A13" t="s">
        <v>20</v>
      </c>
      <c r="B13" s="11">
        <f t="shared" si="0"/>
        <v>4140</v>
      </c>
      <c r="C13" s="11">
        <f t="shared" si="1"/>
        <v>4140</v>
      </c>
      <c r="D13">
        <f t="shared" si="2"/>
        <v>5</v>
      </c>
      <c r="E13">
        <v>1</v>
      </c>
      <c r="F13" s="11">
        <v>2820</v>
      </c>
      <c r="G13" s="14">
        <v>0</v>
      </c>
      <c r="H13" s="11">
        <f t="shared" si="4"/>
        <v>2820</v>
      </c>
      <c r="I13" s="11">
        <f>+J14*(1-0.01%)</f>
        <v>11683231.560000001</v>
      </c>
      <c r="J13" s="11">
        <f t="shared" si="3"/>
        <v>11674800</v>
      </c>
      <c r="K13" s="2">
        <v>6</v>
      </c>
    </row>
    <row r="14" spans="1:13" x14ac:dyDescent="0.25">
      <c r="A14" t="s">
        <v>23</v>
      </c>
      <c r="B14" s="11">
        <f t="shared" si="0"/>
        <v>7490</v>
      </c>
      <c r="C14" s="11">
        <f t="shared" si="1"/>
        <v>7490</v>
      </c>
      <c r="D14">
        <f t="shared" si="2"/>
        <v>4</v>
      </c>
      <c r="E14">
        <v>1</v>
      </c>
      <c r="F14" s="11">
        <v>1560</v>
      </c>
      <c r="G14" s="14">
        <v>0</v>
      </c>
      <c r="H14" s="11">
        <f t="shared" si="4"/>
        <v>1560</v>
      </c>
      <c r="I14" s="11">
        <f>+J9*(1-0.01%)</f>
        <v>11698830</v>
      </c>
      <c r="J14" s="11">
        <f t="shared" si="3"/>
        <v>11684400</v>
      </c>
      <c r="K14" s="2">
        <v>5</v>
      </c>
    </row>
    <row r="15" spans="1:13" x14ac:dyDescent="0.25">
      <c r="A15" t="s">
        <v>24</v>
      </c>
      <c r="B15" s="11">
        <f t="shared" si="0"/>
        <v>7530</v>
      </c>
      <c r="C15" s="11">
        <f t="shared" si="1"/>
        <v>7530</v>
      </c>
      <c r="D15">
        <f t="shared" si="2"/>
        <v>1</v>
      </c>
      <c r="E15">
        <v>1</v>
      </c>
      <c r="F15" s="11">
        <v>1560</v>
      </c>
      <c r="G15" s="14">
        <v>0</v>
      </c>
      <c r="H15" s="11">
        <f t="shared" si="4"/>
        <v>1560</v>
      </c>
      <c r="I15" s="11">
        <f>+B5</f>
        <v>11754288</v>
      </c>
      <c r="J15" s="11">
        <f t="shared" si="3"/>
        <v>11746800</v>
      </c>
      <c r="K15" s="2">
        <v>5</v>
      </c>
    </row>
    <row r="16" spans="1:13" x14ac:dyDescent="0.25">
      <c r="B16" s="15">
        <f>SUM(B8:B15)</f>
        <v>29550</v>
      </c>
      <c r="C16" s="15">
        <f>SUM(C8:C15)</f>
        <v>46520</v>
      </c>
    </row>
    <row r="18" spans="1:11" ht="45" x14ac:dyDescent="0.25">
      <c r="B18" s="12" t="str">
        <f t="shared" ref="B18:K18" si="5">+B7</f>
        <v>Army</v>
      </c>
      <c r="C18" s="12" t="str">
        <f t="shared" si="5"/>
        <v>Leadership</v>
      </c>
      <c r="D18" s="12" t="str">
        <f t="shared" si="5"/>
        <v>Rank</v>
      </c>
      <c r="E18" s="12" t="str">
        <f t="shared" si="5"/>
        <v>Leadership per Active Troop</v>
      </c>
      <c r="F18" s="12" t="str">
        <f t="shared" si="5"/>
        <v>Troop Base Health</v>
      </c>
      <c r="G18" s="12" t="str">
        <f t="shared" si="5"/>
        <v>INPUT Troop Health Bonus</v>
      </c>
      <c r="H18" s="12" t="str">
        <f t="shared" si="5"/>
        <v>Total Health Bonus</v>
      </c>
      <c r="I18" s="12" t="str">
        <f t="shared" si="5"/>
        <v>Target Health per Stack</v>
      </c>
      <c r="J18" s="12" t="str">
        <f t="shared" si="5"/>
        <v>Actual Health per Stack</v>
      </c>
      <c r="K18" s="12" t="str">
        <f t="shared" si="5"/>
        <v>Troop Level</v>
      </c>
    </row>
    <row r="19" spans="1:11" x14ac:dyDescent="0.25">
      <c r="A19" t="s">
        <v>25</v>
      </c>
      <c r="B19" s="11">
        <f t="shared" ref="B19:B21" si="6">+ROUNDDOWN(I19/H19,-1)</f>
        <v>20</v>
      </c>
      <c r="C19" s="11">
        <f>+B19*F19</f>
        <v>7800000</v>
      </c>
      <c r="E19">
        <v>34</v>
      </c>
      <c r="F19" s="11">
        <v>390000</v>
      </c>
      <c r="G19" s="14">
        <v>0</v>
      </c>
      <c r="H19" s="11">
        <f t="shared" ref="H19:H21" si="7">+F19*(1+G19)</f>
        <v>390000</v>
      </c>
      <c r="I19" s="11">
        <f>+J13*(1-0.01%)</f>
        <v>11673632.52</v>
      </c>
      <c r="J19" s="11">
        <f t="shared" ref="J19:J21" si="8">+B19*H19</f>
        <v>7800000</v>
      </c>
      <c r="K19" s="2">
        <v>6</v>
      </c>
    </row>
    <row r="20" spans="1:11" x14ac:dyDescent="0.25">
      <c r="A20" t="s">
        <v>26</v>
      </c>
      <c r="B20" s="11">
        <f t="shared" si="6"/>
        <v>50</v>
      </c>
      <c r="C20" s="11">
        <f>+B20*F20</f>
        <v>7200000</v>
      </c>
      <c r="E20">
        <v>23</v>
      </c>
      <c r="F20" s="11">
        <v>144000</v>
      </c>
      <c r="G20" s="14">
        <v>0</v>
      </c>
      <c r="H20" s="11">
        <f t="shared" si="7"/>
        <v>144000</v>
      </c>
      <c r="I20" s="11">
        <f>+J19*(1-0.01%)</f>
        <v>7799220</v>
      </c>
      <c r="J20" s="11">
        <f t="shared" si="8"/>
        <v>7200000</v>
      </c>
      <c r="K20" s="2">
        <v>5</v>
      </c>
    </row>
    <row r="21" spans="1:11" x14ac:dyDescent="0.25">
      <c r="A21" t="s">
        <v>27</v>
      </c>
      <c r="B21" s="11">
        <f t="shared" si="6"/>
        <v>140</v>
      </c>
      <c r="C21" s="11">
        <f>+B21*F21</f>
        <v>7140000</v>
      </c>
      <c r="E21">
        <v>15</v>
      </c>
      <c r="F21" s="11">
        <v>51000</v>
      </c>
      <c r="G21" s="14">
        <v>0</v>
      </c>
      <c r="H21" s="11">
        <f t="shared" si="7"/>
        <v>51000</v>
      </c>
      <c r="I21" s="11">
        <f>+J20*(1-0.01%)</f>
        <v>7199280</v>
      </c>
      <c r="J21" s="11">
        <f t="shared" si="8"/>
        <v>7140000</v>
      </c>
      <c r="K21" s="2">
        <v>4</v>
      </c>
    </row>
    <row r="23" spans="1:11" ht="45" x14ac:dyDescent="0.25">
      <c r="A23" s="12" t="s">
        <v>28</v>
      </c>
      <c r="B23" s="12" t="str">
        <f>+B7</f>
        <v>Army</v>
      </c>
      <c r="C23" s="12" t="s">
        <v>29</v>
      </c>
      <c r="D23" s="12" t="str">
        <f>+D7</f>
        <v>Rank</v>
      </c>
      <c r="E23" s="12" t="str">
        <f>+E7</f>
        <v>Leadership per Active Troop</v>
      </c>
      <c r="F23" s="12" t="str">
        <f>+F7</f>
        <v>Troop Base Health</v>
      </c>
      <c r="G23" s="12" t="str">
        <f>+G7</f>
        <v>INPUT Troop Health Bonus</v>
      </c>
      <c r="H23" s="12" t="str">
        <f>+H7</f>
        <v>Total Health Bonus</v>
      </c>
      <c r="I23" s="12" t="str">
        <f>+I7</f>
        <v>Target Health per Stack</v>
      </c>
      <c r="J23" s="12" t="str">
        <f>+J7</f>
        <v>Actual Health per Stack</v>
      </c>
      <c r="K23" s="12" t="str">
        <f>+K7</f>
        <v>Troop Level</v>
      </c>
    </row>
    <row r="24" spans="1:11" x14ac:dyDescent="0.25">
      <c r="A24" t="s">
        <v>30</v>
      </c>
      <c r="B24" s="11">
        <f t="shared" ref="B24:B25" si="9">+ROUNDDOWN(I24/H24,-1)</f>
        <v>100</v>
      </c>
      <c r="E24">
        <v>1</v>
      </c>
      <c r="F24" s="11">
        <v>75000</v>
      </c>
      <c r="G24" s="14">
        <v>0</v>
      </c>
      <c r="H24" s="11">
        <f t="shared" ref="H24:H25" si="10">+F24*(1+G24)</f>
        <v>75000</v>
      </c>
      <c r="I24" s="11">
        <f>+J19*(1-0.01%)</f>
        <v>7799220</v>
      </c>
      <c r="J24" s="11">
        <f t="shared" ref="J24:J25" si="11">+B24*H24</f>
        <v>7500000</v>
      </c>
    </row>
    <row r="25" spans="1:11" x14ac:dyDescent="0.25">
      <c r="A25" t="s">
        <v>31</v>
      </c>
      <c r="B25" s="11">
        <f t="shared" si="9"/>
        <v>660</v>
      </c>
      <c r="E25">
        <v>1</v>
      </c>
      <c r="F25" s="11">
        <v>11250</v>
      </c>
      <c r="G25" s="14">
        <v>0</v>
      </c>
      <c r="H25" s="11">
        <f t="shared" si="10"/>
        <v>11250</v>
      </c>
      <c r="I25" s="11">
        <f>+J24*(1-0.01%)</f>
        <v>7499250</v>
      </c>
      <c r="J25" s="11">
        <f t="shared" si="11"/>
        <v>7425000</v>
      </c>
    </row>
  </sheetData>
  <mergeCells count="2"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NBG</dc:creator>
  <cp:lastModifiedBy>NBG</cp:lastModifiedBy>
  <dcterms:created xsi:type="dcterms:W3CDTF">2025-12-03T05:02:27Z</dcterms:created>
  <dcterms:modified xsi:type="dcterms:W3CDTF">2025-12-03T15:17:07Z</dcterms:modified>
</cp:coreProperties>
</file>