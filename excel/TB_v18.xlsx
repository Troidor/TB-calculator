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TB\"/>
    </mc:Choice>
  </mc:AlternateContent>
  <xr:revisionPtr revIDLastSave="0" documentId="13_ncr:1_{2120DB29-CC17-4A77-A79A-AE694F9F75AA}" xr6:coauthVersionLast="47" xr6:coauthVersionMax="47" xr10:uidLastSave="{00000000-0000-0000-0000-000000000000}"/>
  <bookViews>
    <workbookView xWindow="-120" yWindow="-120" windowWidth="29040" windowHeight="15720" firstSheet="1" activeTab="2" xr2:uid="{C37A1061-60E5-4F4F-935D-BA4304371B5A}"/>
  </bookViews>
  <sheets>
    <sheet name="v5" sheetId="3" state="hidden" r:id="rId1"/>
    <sheet name="Base Data" sheetId="15" r:id="rId2"/>
    <sheet name="Calcs" sheetId="16" r:id="rId3"/>
    <sheet name="RSS" sheetId="1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16" l="1"/>
  <c r="I20" i="17" l="1"/>
  <c r="I21" i="17" s="1"/>
  <c r="H20" i="17"/>
  <c r="G19" i="17"/>
  <c r="C15" i="17"/>
  <c r="V16" i="15"/>
  <c r="V15" i="15"/>
  <c r="V14" i="15"/>
  <c r="V13" i="15"/>
  <c r="V12" i="15"/>
  <c r="V11" i="15"/>
  <c r="P24" i="16" l="1"/>
  <c r="C21" i="16"/>
  <c r="D16" i="16"/>
  <c r="B4" i="16"/>
  <c r="B5" i="16"/>
  <c r="B6" i="16"/>
  <c r="B7" i="16"/>
  <c r="B8" i="16"/>
  <c r="B9" i="16"/>
  <c r="B10" i="16"/>
  <c r="B11" i="16"/>
  <c r="B12" i="16"/>
  <c r="B13" i="16"/>
  <c r="B14" i="16"/>
  <c r="B15" i="16"/>
  <c r="B17" i="16"/>
  <c r="B18" i="16"/>
  <c r="B19" i="16"/>
  <c r="B20" i="16"/>
  <c r="B21" i="16"/>
  <c r="B22" i="16"/>
  <c r="B23" i="16"/>
  <c r="B24" i="16"/>
  <c r="B3" i="16"/>
  <c r="J22" i="16"/>
  <c r="J23" i="16"/>
  <c r="J24" i="16"/>
  <c r="J21" i="16"/>
  <c r="E7" i="16" l="1"/>
  <c r="E16" i="16"/>
  <c r="B16" i="16" s="1"/>
  <c r="D19" i="15"/>
  <c r="B13" i="15"/>
  <c r="O3" i="17"/>
  <c r="O2" i="17"/>
  <c r="K3" i="17"/>
  <c r="K2" i="17"/>
  <c r="G3" i="17"/>
  <c r="G2" i="17"/>
  <c r="C3" i="17"/>
  <c r="C4" i="17"/>
  <c r="C5" i="17"/>
  <c r="C6" i="17"/>
  <c r="C7" i="17"/>
  <c r="C8" i="17"/>
  <c r="C9" i="17"/>
  <c r="C10" i="17"/>
  <c r="C11" i="17"/>
  <c r="C2" i="17"/>
  <c r="C9" i="16"/>
  <c r="C16" i="16" s="1"/>
  <c r="M19" i="15"/>
  <c r="P28" i="15"/>
  <c r="P27" i="15"/>
  <c r="P26" i="15"/>
  <c r="G4" i="17" l="1"/>
  <c r="O4" i="17"/>
  <c r="K4" i="17"/>
  <c r="C12" i="17"/>
  <c r="N14" i="15" l="1"/>
  <c r="P57" i="15" l="1"/>
  <c r="P54" i="15"/>
  <c r="P51" i="15"/>
  <c r="P48" i="15"/>
  <c r="P45" i="15"/>
  <c r="P41" i="15"/>
  <c r="P37" i="15"/>
  <c r="P33" i="15"/>
  <c r="H111" i="16"/>
  <c r="H110" i="16"/>
  <c r="H109" i="16"/>
  <c r="H108" i="16"/>
  <c r="H107" i="16"/>
  <c r="H106" i="16"/>
  <c r="H105" i="16"/>
  <c r="H104" i="16"/>
  <c r="H103" i="16"/>
  <c r="H102" i="16"/>
  <c r="H101" i="16"/>
  <c r="K86" i="16"/>
  <c r="P35" i="15" l="1"/>
  <c r="P34" i="15"/>
  <c r="P36" i="15"/>
  <c r="P40" i="15"/>
  <c r="P39" i="15"/>
  <c r="P38" i="15"/>
  <c r="P30" i="15"/>
  <c r="P31" i="15"/>
  <c r="P32" i="15"/>
  <c r="P46" i="15"/>
  <c r="P47" i="15"/>
  <c r="P50" i="15"/>
  <c r="P49" i="15"/>
  <c r="P53" i="15"/>
  <c r="P52" i="15"/>
  <c r="P44" i="15"/>
  <c r="P43" i="15"/>
  <c r="P42" i="15"/>
  <c r="P56" i="15"/>
  <c r="P55" i="15"/>
  <c r="N67" i="15"/>
  <c r="N71" i="15" s="1"/>
  <c r="N75" i="15" s="1"/>
  <c r="N79" i="15" s="1"/>
  <c r="N66" i="15"/>
  <c r="N70" i="15" s="1"/>
  <c r="N74" i="15" s="1"/>
  <c r="N78" i="15" s="1"/>
  <c r="N65" i="15"/>
  <c r="N69" i="15" s="1"/>
  <c r="N73" i="15" s="1"/>
  <c r="N77" i="15" s="1"/>
  <c r="N64" i="15"/>
  <c r="N68" i="15" s="1"/>
  <c r="N72" i="15" s="1"/>
  <c r="N76" i="15" s="1"/>
  <c r="N33" i="15"/>
  <c r="N37" i="15" s="1"/>
  <c r="N41" i="15" s="1"/>
  <c r="N45" i="15" s="1"/>
  <c r="N32" i="15"/>
  <c r="N36" i="15" s="1"/>
  <c r="N40" i="15" s="1"/>
  <c r="N44" i="15" s="1"/>
  <c r="N48" i="15" s="1"/>
  <c r="N31" i="15"/>
  <c r="N35" i="15" s="1"/>
  <c r="N39" i="15" s="1"/>
  <c r="N43" i="15" s="1"/>
  <c r="N47" i="15" s="1"/>
  <c r="N30" i="15"/>
  <c r="N34" i="15" s="1"/>
  <c r="N38" i="15" s="1"/>
  <c r="N42" i="15" s="1"/>
  <c r="N46" i="15" s="1"/>
  <c r="M112" i="16"/>
  <c r="M85" i="15"/>
  <c r="L85" i="15"/>
  <c r="K85" i="15"/>
  <c r="J85" i="15"/>
  <c r="I85" i="15"/>
  <c r="H85" i="15"/>
  <c r="G85" i="15"/>
  <c r="F85" i="15"/>
  <c r="E85" i="15"/>
  <c r="D85" i="15"/>
  <c r="B23" i="15"/>
  <c r="B22" i="15"/>
  <c r="B21" i="15"/>
  <c r="B20" i="15"/>
  <c r="B19" i="15"/>
  <c r="F83" i="15" s="1"/>
  <c r="B18" i="15"/>
  <c r="F57" i="15" s="1"/>
  <c r="B17" i="15"/>
  <c r="B16" i="15"/>
  <c r="E42" i="15" s="1"/>
  <c r="B14" i="15"/>
  <c r="B12" i="15"/>
  <c r="B11" i="15"/>
  <c r="B10" i="15"/>
  <c r="B9" i="15"/>
  <c r="B8" i="15"/>
  <c r="B7" i="15"/>
  <c r="B6" i="15"/>
  <c r="B5" i="15"/>
  <c r="B4" i="15"/>
  <c r="B3" i="15"/>
  <c r="B2" i="15"/>
  <c r="B85" i="15"/>
  <c r="B59" i="15"/>
  <c r="E34" i="15" l="1"/>
  <c r="E38" i="15"/>
  <c r="I110" i="15"/>
  <c r="I107" i="15"/>
  <c r="I106" i="15"/>
  <c r="G113" i="15"/>
  <c r="G112" i="15"/>
  <c r="G109" i="15"/>
  <c r="G105" i="15"/>
  <c r="H101" i="15"/>
  <c r="H103" i="15"/>
  <c r="H104" i="15"/>
  <c r="H111" i="15"/>
  <c r="E112" i="15"/>
  <c r="E109" i="15"/>
  <c r="K113" i="15"/>
  <c r="K109" i="15"/>
  <c r="J99" i="15"/>
  <c r="J108" i="15"/>
  <c r="J98" i="15"/>
  <c r="J102" i="15"/>
  <c r="J100" i="15"/>
  <c r="H73" i="15"/>
  <c r="H96" i="15"/>
  <c r="H92" i="15"/>
  <c r="H88" i="15"/>
  <c r="I50" i="15"/>
  <c r="I94" i="15"/>
  <c r="I90" i="15"/>
  <c r="I86" i="15"/>
  <c r="J83" i="15"/>
  <c r="J95" i="15"/>
  <c r="J91" i="15"/>
  <c r="J87" i="15"/>
  <c r="G64" i="15"/>
  <c r="G97" i="15"/>
  <c r="G93" i="15"/>
  <c r="G89" i="15"/>
  <c r="K83" i="15"/>
  <c r="K33" i="15"/>
  <c r="K37" i="15"/>
  <c r="K49" i="15"/>
  <c r="K74" i="15"/>
  <c r="K40" i="15"/>
  <c r="K89" i="15"/>
  <c r="E99" i="15"/>
  <c r="K53" i="15"/>
  <c r="E106" i="15"/>
  <c r="K56" i="15"/>
  <c r="K99" i="15"/>
  <c r="E107" i="15"/>
  <c r="K67" i="15"/>
  <c r="K103" i="15"/>
  <c r="H46" i="15"/>
  <c r="K71" i="15"/>
  <c r="K106" i="15"/>
  <c r="M79" i="16"/>
  <c r="B79" i="16" s="1"/>
  <c r="L79" i="16" s="1"/>
  <c r="M98" i="16"/>
  <c r="B98" i="16" s="1"/>
  <c r="G98" i="16" s="1"/>
  <c r="M99" i="16"/>
  <c r="B99" i="16" s="1"/>
  <c r="M77" i="16"/>
  <c r="B77" i="16" s="1"/>
  <c r="L77" i="16" s="1"/>
  <c r="M89" i="16"/>
  <c r="B89" i="16" s="1"/>
  <c r="M101" i="16"/>
  <c r="B101" i="16" s="1"/>
  <c r="G101" i="16" s="1"/>
  <c r="M115" i="16"/>
  <c r="M75" i="16"/>
  <c r="B75" i="16" s="1"/>
  <c r="L75" i="16" s="1"/>
  <c r="M90" i="16"/>
  <c r="B90" i="16" s="1"/>
  <c r="G90" i="16" s="1"/>
  <c r="M102" i="16"/>
  <c r="B102" i="16" s="1"/>
  <c r="F102" i="16" s="1"/>
  <c r="C102" i="16" s="1"/>
  <c r="I102" i="16" s="1"/>
  <c r="J102" i="16" s="1"/>
  <c r="K102" i="16" s="1"/>
  <c r="M67" i="16"/>
  <c r="B67" i="16" s="1"/>
  <c r="L67" i="16" s="1"/>
  <c r="M63" i="16"/>
  <c r="B63" i="16" s="1"/>
  <c r="L63" i="16" s="1"/>
  <c r="M74" i="16"/>
  <c r="B74" i="16" s="1"/>
  <c r="L74" i="16" s="1"/>
  <c r="M91" i="16"/>
  <c r="B91" i="16" s="1"/>
  <c r="G91" i="16" s="1"/>
  <c r="M105" i="16"/>
  <c r="B105" i="16" s="1"/>
  <c r="F105" i="16" s="1"/>
  <c r="C105" i="16" s="1"/>
  <c r="I105" i="16" s="1"/>
  <c r="J105" i="16" s="1"/>
  <c r="K105" i="16" s="1"/>
  <c r="M106" i="16"/>
  <c r="B106" i="16" s="1"/>
  <c r="G106" i="16" s="1"/>
  <c r="M78" i="16"/>
  <c r="B78" i="16" s="1"/>
  <c r="L78" i="16" s="1"/>
  <c r="M114" i="16"/>
  <c r="M71" i="16"/>
  <c r="B71" i="16" s="1"/>
  <c r="L71" i="16" s="1"/>
  <c r="M93" i="16"/>
  <c r="B93" i="16" s="1"/>
  <c r="G93" i="16" s="1"/>
  <c r="M83" i="16"/>
  <c r="B83" i="16" s="1"/>
  <c r="L83" i="16" s="1"/>
  <c r="M70" i="16"/>
  <c r="B70" i="16" s="1"/>
  <c r="L70" i="16" s="1"/>
  <c r="M94" i="16"/>
  <c r="B94" i="16" s="1"/>
  <c r="M107" i="16"/>
  <c r="B107" i="16" s="1"/>
  <c r="F107" i="16" s="1"/>
  <c r="C107" i="16" s="1"/>
  <c r="I107" i="16" s="1"/>
  <c r="J107" i="16" s="1"/>
  <c r="K107" i="16" s="1"/>
  <c r="M113" i="16"/>
  <c r="M66" i="16"/>
  <c r="B66" i="16" s="1"/>
  <c r="L66" i="16" s="1"/>
  <c r="M85" i="16"/>
  <c r="B85" i="16" s="1"/>
  <c r="L85" i="16" s="1"/>
  <c r="M82" i="16"/>
  <c r="B82" i="16" s="1"/>
  <c r="L82" i="16" s="1"/>
  <c r="M69" i="16"/>
  <c r="B69" i="16" s="1"/>
  <c r="L69" i="16" s="1"/>
  <c r="M97" i="16"/>
  <c r="B97" i="16" s="1"/>
  <c r="M109" i="16"/>
  <c r="B109" i="16" s="1"/>
  <c r="G109" i="16" s="1"/>
  <c r="M84" i="16"/>
  <c r="B84" i="16" s="1"/>
  <c r="L84" i="16" s="1"/>
  <c r="M76" i="16"/>
  <c r="B76" i="16" s="1"/>
  <c r="L76" i="16" s="1"/>
  <c r="M68" i="16"/>
  <c r="B68" i="16" s="1"/>
  <c r="L68" i="16" s="1"/>
  <c r="M92" i="16"/>
  <c r="B92" i="16" s="1"/>
  <c r="G92" i="16" s="1"/>
  <c r="M100" i="16"/>
  <c r="B100" i="16" s="1"/>
  <c r="M108" i="16"/>
  <c r="B108" i="16" s="1"/>
  <c r="F108" i="16" s="1"/>
  <c r="C108" i="16" s="1"/>
  <c r="I108" i="16" s="1"/>
  <c r="J108" i="16" s="1"/>
  <c r="K108" i="16" s="1"/>
  <c r="M110" i="16"/>
  <c r="B110" i="16" s="1"/>
  <c r="G110" i="16" s="1"/>
  <c r="M81" i="16"/>
  <c r="B81" i="16" s="1"/>
  <c r="L81" i="16" s="1"/>
  <c r="M73" i="16"/>
  <c r="B73" i="16" s="1"/>
  <c r="L73" i="16" s="1"/>
  <c r="M65" i="16"/>
  <c r="B65" i="16" s="1"/>
  <c r="L65" i="16" s="1"/>
  <c r="M95" i="16"/>
  <c r="B95" i="16" s="1"/>
  <c r="G95" i="16" s="1"/>
  <c r="M103" i="16"/>
  <c r="B103" i="16" s="1"/>
  <c r="G103" i="16" s="1"/>
  <c r="M111" i="16"/>
  <c r="B111" i="16" s="1"/>
  <c r="G111" i="16" s="1"/>
  <c r="M80" i="16"/>
  <c r="B80" i="16" s="1"/>
  <c r="L80" i="16" s="1"/>
  <c r="M72" i="16"/>
  <c r="B72" i="16" s="1"/>
  <c r="L72" i="16" s="1"/>
  <c r="M64" i="16"/>
  <c r="B64" i="16" s="1"/>
  <c r="L64" i="16" s="1"/>
  <c r="M96" i="16"/>
  <c r="B96" i="16" s="1"/>
  <c r="M104" i="16"/>
  <c r="B104" i="16" s="1"/>
  <c r="F104" i="16" s="1"/>
  <c r="C104" i="16" s="1"/>
  <c r="I104" i="16" s="1"/>
  <c r="J104" i="16" s="1"/>
  <c r="K104" i="16" s="1"/>
  <c r="H52" i="15"/>
  <c r="K36" i="15"/>
  <c r="K52" i="15"/>
  <c r="K70" i="15"/>
  <c r="K88" i="15"/>
  <c r="K102" i="15"/>
  <c r="H69" i="15"/>
  <c r="G30" i="15"/>
  <c r="I62" i="15"/>
  <c r="K41" i="15"/>
  <c r="K57" i="15"/>
  <c r="K75" i="15"/>
  <c r="K107" i="15"/>
  <c r="E90" i="15"/>
  <c r="G60" i="15"/>
  <c r="K28" i="15"/>
  <c r="K44" i="15"/>
  <c r="K62" i="15"/>
  <c r="K78" i="15"/>
  <c r="K94" i="15"/>
  <c r="K110" i="15"/>
  <c r="F68" i="15"/>
  <c r="I47" i="15"/>
  <c r="E91" i="15"/>
  <c r="G76" i="15"/>
  <c r="K29" i="15"/>
  <c r="K45" i="15"/>
  <c r="K63" i="15"/>
  <c r="K79" i="15"/>
  <c r="K95" i="15"/>
  <c r="K111" i="15"/>
  <c r="E98" i="15"/>
  <c r="H39" i="15"/>
  <c r="K32" i="15"/>
  <c r="K48" i="15"/>
  <c r="K66" i="15"/>
  <c r="K82" i="15"/>
  <c r="K98" i="15"/>
  <c r="J71" i="15"/>
  <c r="E87" i="15"/>
  <c r="E103" i="15"/>
  <c r="F76" i="15"/>
  <c r="I53" i="15"/>
  <c r="K26" i="15"/>
  <c r="K34" i="15"/>
  <c r="K42" i="15"/>
  <c r="K50" i="15"/>
  <c r="K60" i="15"/>
  <c r="K68" i="15"/>
  <c r="K76" i="15"/>
  <c r="K86" i="15"/>
  <c r="K92" i="15"/>
  <c r="K100" i="15"/>
  <c r="K108" i="15"/>
  <c r="E89" i="15"/>
  <c r="E105" i="15"/>
  <c r="G26" i="15"/>
  <c r="H49" i="15"/>
  <c r="I56" i="15"/>
  <c r="K27" i="15"/>
  <c r="K35" i="15"/>
  <c r="K43" i="15"/>
  <c r="K51" i="15"/>
  <c r="K61" i="15"/>
  <c r="K69" i="15"/>
  <c r="K77" i="15"/>
  <c r="K87" i="15"/>
  <c r="K93" i="15"/>
  <c r="K101" i="15"/>
  <c r="I78" i="15"/>
  <c r="E95" i="15"/>
  <c r="E111" i="15"/>
  <c r="G68" i="15"/>
  <c r="H77" i="15"/>
  <c r="J37" i="15"/>
  <c r="K30" i="15"/>
  <c r="K38" i="15"/>
  <c r="K46" i="15"/>
  <c r="K54" i="15"/>
  <c r="K64" i="15"/>
  <c r="K72" i="15"/>
  <c r="K80" i="15"/>
  <c r="K90" i="15"/>
  <c r="K96" i="15"/>
  <c r="K104" i="15"/>
  <c r="K112" i="15"/>
  <c r="E97" i="15"/>
  <c r="E113" i="15"/>
  <c r="G72" i="15"/>
  <c r="I28" i="15"/>
  <c r="J41" i="15"/>
  <c r="K31" i="15"/>
  <c r="K39" i="15"/>
  <c r="K47" i="15"/>
  <c r="K55" i="15"/>
  <c r="K65" i="15"/>
  <c r="K73" i="15"/>
  <c r="K81" i="15"/>
  <c r="K91" i="15"/>
  <c r="K97" i="15"/>
  <c r="K105" i="15"/>
  <c r="F60" i="15"/>
  <c r="I32" i="15"/>
  <c r="J67" i="15"/>
  <c r="F26" i="15"/>
  <c r="F34" i="15"/>
  <c r="F50" i="15"/>
  <c r="B15" i="15"/>
  <c r="E60" i="15"/>
  <c r="E92" i="15"/>
  <c r="E100" i="15"/>
  <c r="E108" i="15"/>
  <c r="F28" i="15"/>
  <c r="F36" i="15"/>
  <c r="F44" i="15"/>
  <c r="F52" i="15"/>
  <c r="F62" i="15"/>
  <c r="F70" i="15"/>
  <c r="F78" i="15"/>
  <c r="G34" i="15"/>
  <c r="H27" i="15"/>
  <c r="H55" i="15"/>
  <c r="I36" i="15"/>
  <c r="I66" i="15"/>
  <c r="J45" i="15"/>
  <c r="J75" i="15"/>
  <c r="F42" i="15"/>
  <c r="F27" i="15"/>
  <c r="F35" i="15"/>
  <c r="F43" i="15"/>
  <c r="F51" i="15"/>
  <c r="F61" i="15"/>
  <c r="F69" i="15"/>
  <c r="F77" i="15"/>
  <c r="E64" i="15"/>
  <c r="E93" i="15"/>
  <c r="E101" i="15"/>
  <c r="F29" i="15"/>
  <c r="F37" i="15"/>
  <c r="F45" i="15"/>
  <c r="F53" i="15"/>
  <c r="F63" i="15"/>
  <c r="F71" i="15"/>
  <c r="F79" i="15"/>
  <c r="G38" i="15"/>
  <c r="H31" i="15"/>
  <c r="H61" i="15"/>
  <c r="I40" i="15"/>
  <c r="I70" i="15"/>
  <c r="J48" i="15"/>
  <c r="J79" i="15"/>
  <c r="E86" i="15"/>
  <c r="E94" i="15"/>
  <c r="E102" i="15"/>
  <c r="E110" i="15"/>
  <c r="F30" i="15"/>
  <c r="F38" i="15"/>
  <c r="F46" i="15"/>
  <c r="F54" i="15"/>
  <c r="F64" i="15"/>
  <c r="F72" i="15"/>
  <c r="F80" i="15"/>
  <c r="G42" i="15"/>
  <c r="H35" i="15"/>
  <c r="H65" i="15"/>
  <c r="I44" i="15"/>
  <c r="I74" i="15"/>
  <c r="J51" i="15"/>
  <c r="J80" i="15"/>
  <c r="F31" i="15"/>
  <c r="F39" i="15"/>
  <c r="F47" i="15"/>
  <c r="F55" i="15"/>
  <c r="F65" i="15"/>
  <c r="F73" i="15"/>
  <c r="F81" i="15"/>
  <c r="J54" i="15"/>
  <c r="J81" i="15"/>
  <c r="E88" i="15"/>
  <c r="E96" i="15"/>
  <c r="E104" i="15"/>
  <c r="F32" i="15"/>
  <c r="F40" i="15"/>
  <c r="F48" i="15"/>
  <c r="F56" i="15"/>
  <c r="F66" i="15"/>
  <c r="F74" i="15"/>
  <c r="F82" i="15"/>
  <c r="H43" i="15"/>
  <c r="J29" i="15"/>
  <c r="J57" i="15"/>
  <c r="J82" i="15"/>
  <c r="F33" i="15"/>
  <c r="F41" i="15"/>
  <c r="F49" i="15"/>
  <c r="F67" i="15"/>
  <c r="F75" i="15"/>
  <c r="J33" i="15"/>
  <c r="J63" i="15"/>
  <c r="A90" i="16"/>
  <c r="D83" i="15" l="1"/>
  <c r="D75" i="15"/>
  <c r="L75" i="15" s="1"/>
  <c r="M75" i="15" s="1"/>
  <c r="D67" i="15"/>
  <c r="L67" i="15" s="1"/>
  <c r="M67" i="15" s="1"/>
  <c r="D57" i="15"/>
  <c r="L57" i="15" s="1"/>
  <c r="M57" i="15" s="1"/>
  <c r="D49" i="15"/>
  <c r="D41" i="15"/>
  <c r="D33" i="15"/>
  <c r="L33" i="15" s="1"/>
  <c r="M33" i="15" s="1"/>
  <c r="D74" i="15"/>
  <c r="L74" i="15" s="1"/>
  <c r="M74" i="15" s="1"/>
  <c r="D48" i="15"/>
  <c r="D32" i="15"/>
  <c r="D73" i="15"/>
  <c r="L73" i="15" s="1"/>
  <c r="M73" i="15" s="1"/>
  <c r="D55" i="15"/>
  <c r="D39" i="15"/>
  <c r="D72" i="15"/>
  <c r="L72" i="15" s="1"/>
  <c r="M72" i="15" s="1"/>
  <c r="D46" i="15"/>
  <c r="L46" i="15" s="1"/>
  <c r="M46" i="15" s="1"/>
  <c r="D82" i="15"/>
  <c r="L82" i="15" s="1"/>
  <c r="M82" i="15" s="1"/>
  <c r="D81" i="15"/>
  <c r="D80" i="15"/>
  <c r="D79" i="15"/>
  <c r="D71" i="15"/>
  <c r="D63" i="15"/>
  <c r="D53" i="15"/>
  <c r="L53" i="15" s="1"/>
  <c r="M53" i="15" s="1"/>
  <c r="D45" i="15"/>
  <c r="L45" i="15" s="1"/>
  <c r="M45" i="15" s="1"/>
  <c r="D37" i="15"/>
  <c r="L37" i="15" s="1"/>
  <c r="M37" i="15" s="1"/>
  <c r="D29" i="15"/>
  <c r="D69" i="15"/>
  <c r="D61" i="15"/>
  <c r="D51" i="15"/>
  <c r="D43" i="15"/>
  <c r="D35" i="15"/>
  <c r="L35" i="15" s="1"/>
  <c r="M35" i="15" s="1"/>
  <c r="D27" i="15"/>
  <c r="L27" i="15" s="1"/>
  <c r="D38" i="15"/>
  <c r="L38" i="15" s="1"/>
  <c r="M38" i="15" s="1"/>
  <c r="D78" i="15"/>
  <c r="D70" i="15"/>
  <c r="D62" i="15"/>
  <c r="L62" i="15" s="1"/>
  <c r="M62" i="15" s="1"/>
  <c r="D52" i="15"/>
  <c r="L52" i="15" s="1"/>
  <c r="M52" i="15" s="1"/>
  <c r="D44" i="15"/>
  <c r="L44" i="15" s="1"/>
  <c r="M44" i="15" s="1"/>
  <c r="D36" i="15"/>
  <c r="D28" i="15"/>
  <c r="L28" i="15" s="1"/>
  <c r="D77" i="15"/>
  <c r="L77" i="15" s="1"/>
  <c r="M77" i="15" s="1"/>
  <c r="D76" i="15"/>
  <c r="D68" i="15"/>
  <c r="D60" i="15"/>
  <c r="D50" i="15"/>
  <c r="D42" i="15"/>
  <c r="L42" i="15" s="1"/>
  <c r="M42" i="15" s="1"/>
  <c r="D34" i="15"/>
  <c r="L34" i="15" s="1"/>
  <c r="M34" i="15" s="1"/>
  <c r="D26" i="15"/>
  <c r="L26" i="15" s="1"/>
  <c r="D66" i="15"/>
  <c r="L66" i="15" s="1"/>
  <c r="M66" i="15" s="1"/>
  <c r="D56" i="15"/>
  <c r="L56" i="15" s="1"/>
  <c r="M56" i="15" s="1"/>
  <c r="D40" i="15"/>
  <c r="D65" i="15"/>
  <c r="D47" i="15"/>
  <c r="L47" i="15" s="1"/>
  <c r="M47" i="15" s="1"/>
  <c r="D31" i="15"/>
  <c r="L31" i="15" s="1"/>
  <c r="M31" i="15" s="1"/>
  <c r="D64" i="15"/>
  <c r="L64" i="15" s="1"/>
  <c r="M64" i="15" s="1"/>
  <c r="D54" i="15"/>
  <c r="L54" i="15" s="1"/>
  <c r="M54" i="15" s="1"/>
  <c r="D30" i="15"/>
  <c r="L30" i="15" s="1"/>
  <c r="D109" i="15"/>
  <c r="L109" i="15" s="1"/>
  <c r="M109" i="15" s="1"/>
  <c r="G72" i="16"/>
  <c r="G80" i="16"/>
  <c r="G74" i="16"/>
  <c r="A82" i="16"/>
  <c r="H82" i="16" s="1"/>
  <c r="G63" i="16"/>
  <c r="G77" i="16"/>
  <c r="G85" i="16"/>
  <c r="G71" i="16"/>
  <c r="D32" i="16"/>
  <c r="C32" i="16"/>
  <c r="B57" i="16"/>
  <c r="E57" i="16" s="1"/>
  <c r="B41" i="16"/>
  <c r="E41" i="16" s="1"/>
  <c r="D54" i="16"/>
  <c r="C54" i="16"/>
  <c r="B55" i="16"/>
  <c r="E55" i="16" s="1"/>
  <c r="B54" i="16"/>
  <c r="E54" i="16" s="1"/>
  <c r="D42" i="16"/>
  <c r="C42" i="16"/>
  <c r="D53" i="16"/>
  <c r="C53" i="16"/>
  <c r="B56" i="16"/>
  <c r="E56" i="16" s="1"/>
  <c r="B40" i="16"/>
  <c r="E40" i="16" s="1"/>
  <c r="D34" i="16"/>
  <c r="C34" i="16"/>
  <c r="D55" i="16"/>
  <c r="C55" i="16"/>
  <c r="B34" i="16"/>
  <c r="E34" i="16" s="1"/>
  <c r="D58" i="16"/>
  <c r="B42" i="16"/>
  <c r="E42" i="16" s="1"/>
  <c r="D40" i="16"/>
  <c r="D56" i="16"/>
  <c r="C40" i="16"/>
  <c r="C56" i="16"/>
  <c r="B53" i="16"/>
  <c r="E53" i="16" s="1"/>
  <c r="D41" i="16"/>
  <c r="D57" i="16"/>
  <c r="C41" i="16"/>
  <c r="C57" i="16"/>
  <c r="B32" i="16"/>
  <c r="E32" i="16" s="1"/>
  <c r="C58" i="16"/>
  <c r="B58" i="16"/>
  <c r="E58" i="16" s="1"/>
  <c r="G89" i="16"/>
  <c r="G100" i="16"/>
  <c r="G82" i="16"/>
  <c r="F111" i="16"/>
  <c r="C111" i="16" s="1"/>
  <c r="I111" i="16" s="1"/>
  <c r="J111" i="16" s="1"/>
  <c r="K111" i="16" s="1"/>
  <c r="A91" i="16"/>
  <c r="A92" i="16" s="1"/>
  <c r="A93" i="16" s="1"/>
  <c r="A94" i="16" s="1"/>
  <c r="A95" i="16" s="1"/>
  <c r="A96" i="16" s="1"/>
  <c r="A97" i="16" s="1"/>
  <c r="A98" i="16" s="1"/>
  <c r="A99" i="16" s="1"/>
  <c r="A100" i="16" s="1"/>
  <c r="G105" i="16"/>
  <c r="D105" i="16" s="1"/>
  <c r="F103" i="16"/>
  <c r="C103" i="16" s="1"/>
  <c r="I103" i="16" s="1"/>
  <c r="J103" i="16" s="1"/>
  <c r="K103" i="16" s="1"/>
  <c r="G65" i="16"/>
  <c r="E65" i="16"/>
  <c r="G76" i="16"/>
  <c r="E76" i="16"/>
  <c r="G78" i="16"/>
  <c r="E78" i="16"/>
  <c r="E79" i="16"/>
  <c r="F79" i="16"/>
  <c r="G68" i="16"/>
  <c r="E68" i="16"/>
  <c r="E66" i="16"/>
  <c r="G66" i="16"/>
  <c r="G102" i="16"/>
  <c r="D102" i="16" s="1"/>
  <c r="G73" i="16"/>
  <c r="E73" i="16"/>
  <c r="G84" i="16"/>
  <c r="E84" i="16"/>
  <c r="F84" i="16"/>
  <c r="E75" i="16"/>
  <c r="A64" i="16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E64" i="16"/>
  <c r="A81" i="16"/>
  <c r="H81" i="16" s="1"/>
  <c r="E81" i="16"/>
  <c r="F81" i="16"/>
  <c r="E72" i="16"/>
  <c r="G70" i="16"/>
  <c r="E70" i="16"/>
  <c r="E80" i="16"/>
  <c r="F80" i="16"/>
  <c r="G69" i="16"/>
  <c r="E69" i="16"/>
  <c r="A83" i="16"/>
  <c r="H83" i="16" s="1"/>
  <c r="E83" i="16"/>
  <c r="F83" i="16"/>
  <c r="E74" i="16"/>
  <c r="A85" i="16"/>
  <c r="H85" i="16" s="1"/>
  <c r="E85" i="16"/>
  <c r="F85" i="16"/>
  <c r="E71" i="16"/>
  <c r="G67" i="16"/>
  <c r="E67" i="16"/>
  <c r="G99" i="16"/>
  <c r="E82" i="16"/>
  <c r="F82" i="16"/>
  <c r="E63" i="16"/>
  <c r="E77" i="16"/>
  <c r="G97" i="16"/>
  <c r="F110" i="16"/>
  <c r="C110" i="16" s="1"/>
  <c r="I110" i="16" s="1"/>
  <c r="J110" i="16" s="1"/>
  <c r="K110" i="16" s="1"/>
  <c r="F101" i="16"/>
  <c r="C101" i="16" s="1"/>
  <c r="I101" i="16" s="1"/>
  <c r="J101" i="16" s="1"/>
  <c r="K101" i="16" s="1"/>
  <c r="G79" i="16"/>
  <c r="A79" i="16"/>
  <c r="H79" i="16" s="1"/>
  <c r="G83" i="16"/>
  <c r="G108" i="16"/>
  <c r="D108" i="16" s="1"/>
  <c r="G104" i="16"/>
  <c r="D104" i="16" s="1"/>
  <c r="G64" i="16"/>
  <c r="A80" i="16"/>
  <c r="H80" i="16" s="1"/>
  <c r="G81" i="16"/>
  <c r="G94" i="16"/>
  <c r="G107" i="16"/>
  <c r="D107" i="16" s="1"/>
  <c r="A84" i="16"/>
  <c r="H84" i="16" s="1"/>
  <c r="F109" i="16"/>
  <c r="C109" i="16" s="1"/>
  <c r="I109" i="16" s="1"/>
  <c r="J109" i="16" s="1"/>
  <c r="K109" i="16" s="1"/>
  <c r="G96" i="16"/>
  <c r="F106" i="16"/>
  <c r="C106" i="16" s="1"/>
  <c r="I106" i="16" s="1"/>
  <c r="J106" i="16" s="1"/>
  <c r="K106" i="16" s="1"/>
  <c r="G75" i="16"/>
  <c r="D111" i="15"/>
  <c r="L111" i="15" s="1"/>
  <c r="M111" i="15" s="1"/>
  <c r="D103" i="15"/>
  <c r="L103" i="15" s="1"/>
  <c r="M103" i="15" s="1"/>
  <c r="D95" i="15"/>
  <c r="L95" i="15" s="1"/>
  <c r="M95" i="15" s="1"/>
  <c r="D87" i="15"/>
  <c r="L87" i="15" s="1"/>
  <c r="M87" i="15" s="1"/>
  <c r="F97" i="16" s="1"/>
  <c r="L69" i="15"/>
  <c r="M69" i="15" s="1"/>
  <c r="L61" i="15"/>
  <c r="M61" i="15" s="1"/>
  <c r="L51" i="15"/>
  <c r="M51" i="15" s="1"/>
  <c r="L43" i="15"/>
  <c r="M43" i="15" s="1"/>
  <c r="D110" i="15"/>
  <c r="L110" i="15" s="1"/>
  <c r="M110" i="15" s="1"/>
  <c r="D102" i="15"/>
  <c r="L102" i="15" s="1"/>
  <c r="M102" i="15" s="1"/>
  <c r="D94" i="15"/>
  <c r="L94" i="15" s="1"/>
  <c r="M94" i="15" s="1"/>
  <c r="D86" i="15"/>
  <c r="L86" i="15" s="1"/>
  <c r="M86" i="15" s="1"/>
  <c r="L76" i="15"/>
  <c r="M76" i="15" s="1"/>
  <c r="L68" i="15"/>
  <c r="M68" i="15" s="1"/>
  <c r="L60" i="15"/>
  <c r="M60" i="15" s="1"/>
  <c r="L50" i="15"/>
  <c r="M50" i="15" s="1"/>
  <c r="D101" i="15"/>
  <c r="L101" i="15" s="1"/>
  <c r="M101" i="15" s="1"/>
  <c r="D93" i="15"/>
  <c r="L93" i="15" s="1"/>
  <c r="M93" i="15" s="1"/>
  <c r="L83" i="15"/>
  <c r="M83" i="15" s="1"/>
  <c r="L49" i="15"/>
  <c r="M49" i="15" s="1"/>
  <c r="L41" i="15"/>
  <c r="M41" i="15" s="1"/>
  <c r="D108" i="15"/>
  <c r="L108" i="15" s="1"/>
  <c r="M108" i="15" s="1"/>
  <c r="D100" i="15"/>
  <c r="L100" i="15" s="1"/>
  <c r="M100" i="15" s="1"/>
  <c r="D92" i="15"/>
  <c r="L92" i="15" s="1"/>
  <c r="M92" i="15" s="1"/>
  <c r="F95" i="16" s="1"/>
  <c r="L48" i="15"/>
  <c r="M48" i="15" s="1"/>
  <c r="L40" i="15"/>
  <c r="M40" i="15" s="1"/>
  <c r="L32" i="15"/>
  <c r="M32" i="15" s="1"/>
  <c r="D107" i="15"/>
  <c r="L107" i="15" s="1"/>
  <c r="M107" i="15" s="1"/>
  <c r="D99" i="15"/>
  <c r="L99" i="15" s="1"/>
  <c r="M99" i="15" s="1"/>
  <c r="D91" i="15"/>
  <c r="L91" i="15" s="1"/>
  <c r="M91" i="15" s="1"/>
  <c r="L81" i="15"/>
  <c r="M81" i="15" s="1"/>
  <c r="L65" i="15"/>
  <c r="M65" i="15" s="1"/>
  <c r="L55" i="15"/>
  <c r="M55" i="15" s="1"/>
  <c r="L39" i="15"/>
  <c r="M39" i="15" s="1"/>
  <c r="D113" i="15"/>
  <c r="L113" i="15" s="1"/>
  <c r="M113" i="15" s="1"/>
  <c r="D105" i="15"/>
  <c r="L105" i="15" s="1"/>
  <c r="M105" i="15" s="1"/>
  <c r="D97" i="15"/>
  <c r="L97" i="15" s="1"/>
  <c r="M97" i="15" s="1"/>
  <c r="D89" i="15"/>
  <c r="L89" i="15" s="1"/>
  <c r="M89" i="15" s="1"/>
  <c r="L79" i="15"/>
  <c r="M79" i="15" s="1"/>
  <c r="L71" i="15"/>
  <c r="M71" i="15" s="1"/>
  <c r="L63" i="15"/>
  <c r="M63" i="15" s="1"/>
  <c r="L29" i="15"/>
  <c r="M29" i="15" s="1"/>
  <c r="D104" i="15"/>
  <c r="L104" i="15" s="1"/>
  <c r="M104" i="15" s="1"/>
  <c r="D96" i="15"/>
  <c r="L96" i="15" s="1"/>
  <c r="M96" i="15" s="1"/>
  <c r="L78" i="15"/>
  <c r="M78" i="15" s="1"/>
  <c r="D106" i="15"/>
  <c r="L106" i="15" s="1"/>
  <c r="M106" i="15" s="1"/>
  <c r="D98" i="15"/>
  <c r="L98" i="15" s="1"/>
  <c r="M98" i="15" s="1"/>
  <c r="D90" i="15"/>
  <c r="L90" i="15" s="1"/>
  <c r="M90" i="15" s="1"/>
  <c r="L80" i="15"/>
  <c r="M80" i="15" s="1"/>
  <c r="D112" i="15"/>
  <c r="L112" i="15" s="1"/>
  <c r="M112" i="15" s="1"/>
  <c r="D88" i="15"/>
  <c r="L88" i="15" s="1"/>
  <c r="M88" i="15" s="1"/>
  <c r="L70" i="15"/>
  <c r="M70" i="15" s="1"/>
  <c r="L36" i="15"/>
  <c r="M36" i="15" s="1"/>
  <c r="F91" i="16" l="1"/>
  <c r="M26" i="15"/>
  <c r="L22" i="15"/>
  <c r="M27" i="15"/>
  <c r="F74" i="16" s="1"/>
  <c r="M22" i="15"/>
  <c r="F93" i="16"/>
  <c r="F69" i="16"/>
  <c r="F66" i="16"/>
  <c r="A76" i="16"/>
  <c r="M30" i="15"/>
  <c r="F68" i="16" s="1"/>
  <c r="L23" i="15"/>
  <c r="M28" i="15"/>
  <c r="F76" i="16" s="1"/>
  <c r="F89" i="16"/>
  <c r="F96" i="16"/>
  <c r="F100" i="16"/>
  <c r="F99" i="16"/>
  <c r="C82" i="16"/>
  <c r="D82" i="16" s="1"/>
  <c r="F90" i="16"/>
  <c r="F94" i="16"/>
  <c r="F92" i="16"/>
  <c r="F98" i="16"/>
  <c r="D111" i="16"/>
  <c r="F70" i="16"/>
  <c r="C81" i="16"/>
  <c r="D103" i="16"/>
  <c r="D101" i="16"/>
  <c r="C80" i="16"/>
  <c r="C85" i="16"/>
  <c r="D110" i="16"/>
  <c r="D109" i="16"/>
  <c r="C84" i="16"/>
  <c r="D106" i="16"/>
  <c r="C83" i="16"/>
  <c r="C79" i="16"/>
  <c r="F75" i="16"/>
  <c r="F77" i="16"/>
  <c r="F78" i="16"/>
  <c r="F71" i="16"/>
  <c r="H9" i="16"/>
  <c r="F67" i="16"/>
  <c r="F63" i="16"/>
  <c r="F64" i="16"/>
  <c r="F65" i="16" l="1"/>
  <c r="K13" i="16"/>
  <c r="K15" i="16"/>
  <c r="K14" i="16"/>
  <c r="F72" i="16"/>
  <c r="F73" i="16"/>
  <c r="A77" i="16"/>
  <c r="I82" i="16"/>
  <c r="J82" i="16" s="1"/>
  <c r="K82" i="16" s="1"/>
  <c r="D81" i="16"/>
  <c r="I81" i="16"/>
  <c r="J81" i="16" s="1"/>
  <c r="K81" i="16" s="1"/>
  <c r="D83" i="16"/>
  <c r="I83" i="16"/>
  <c r="J83" i="16" s="1"/>
  <c r="K83" i="16" s="1"/>
  <c r="D79" i="16"/>
  <c r="I79" i="16"/>
  <c r="J79" i="16" s="1"/>
  <c r="K79" i="16" s="1"/>
  <c r="D80" i="16"/>
  <c r="I80" i="16"/>
  <c r="J80" i="16" s="1"/>
  <c r="K80" i="16" s="1"/>
  <c r="D85" i="16"/>
  <c r="I85" i="16"/>
  <c r="J85" i="16" s="1"/>
  <c r="K85" i="16" s="1"/>
  <c r="D84" i="16"/>
  <c r="I84" i="16"/>
  <c r="J84" i="16" s="1"/>
  <c r="K84" i="16" s="1"/>
  <c r="I16" i="16"/>
  <c r="H12" i="16"/>
  <c r="H10" i="16"/>
  <c r="H11" i="16"/>
  <c r="J14" i="16" l="1"/>
  <c r="I11" i="16" s="1"/>
  <c r="J15" i="16"/>
  <c r="I12" i="16" s="1"/>
  <c r="A78" i="16"/>
  <c r="H16" i="16"/>
  <c r="I10" i="16"/>
  <c r="H13" i="16" l="1"/>
  <c r="I13" i="16" s="1"/>
  <c r="H8" i="16"/>
  <c r="H15" i="16"/>
  <c r="I15" i="16" s="1"/>
  <c r="H14" i="16"/>
  <c r="I14" i="16" s="1"/>
  <c r="H17" i="16" s="1"/>
  <c r="H63" i="16" s="1"/>
  <c r="C63" i="16" l="1"/>
  <c r="B52" i="16" s="1"/>
  <c r="E52" i="16" s="1"/>
  <c r="I63" i="16" l="1"/>
  <c r="H64" i="16" s="1"/>
  <c r="D63" i="16"/>
  <c r="C52" i="16" l="1"/>
  <c r="C64" i="16"/>
  <c r="D64" i="16" l="1"/>
  <c r="B39" i="16"/>
  <c r="E39" i="16" s="1"/>
  <c r="I64" i="16"/>
  <c r="H65" i="16" s="1"/>
  <c r="C39" i="16" l="1"/>
  <c r="C65" i="16"/>
  <c r="D65" i="16" l="1"/>
  <c r="I65" i="16"/>
  <c r="H66" i="16" s="1"/>
  <c r="C66" i="16" l="1"/>
  <c r="B51" i="16" s="1"/>
  <c r="E51" i="16" s="1"/>
  <c r="I66" i="16" l="1"/>
  <c r="H67" i="16" s="1"/>
  <c r="D66" i="16"/>
  <c r="C51" i="16" l="1"/>
  <c r="C67" i="16"/>
  <c r="I67" i="16" l="1"/>
  <c r="H68" i="16" s="1"/>
  <c r="D67" i="16"/>
  <c r="C68" i="16" l="1"/>
  <c r="B50" i="16" l="1"/>
  <c r="E50" i="16" s="1"/>
  <c r="I68" i="16"/>
  <c r="H69" i="16" s="1"/>
  <c r="D68" i="16"/>
  <c r="C50" i="16" s="1"/>
  <c r="C69" i="16" l="1"/>
  <c r="B38" i="16" l="1"/>
  <c r="E38" i="16" s="1"/>
  <c r="I69" i="16"/>
  <c r="H70" i="16" s="1"/>
  <c r="D69" i="16"/>
  <c r="C38" i="16" s="1"/>
  <c r="C70" i="16" l="1"/>
  <c r="B49" i="16" s="1"/>
  <c r="E49" i="16" s="1"/>
  <c r="B46" i="16" l="1"/>
  <c r="E46" i="16" s="1"/>
  <c r="B48" i="16"/>
  <c r="E48" i="16" s="1"/>
  <c r="I70" i="16"/>
  <c r="H71" i="16" s="1"/>
  <c r="D70" i="16"/>
  <c r="C49" i="16" s="1"/>
  <c r="B4" i="3"/>
  <c r="C46" i="16" l="1"/>
  <c r="C48" i="16"/>
  <c r="D21" i="3"/>
  <c r="D20" i="3"/>
  <c r="B9" i="3"/>
  <c r="C71" i="16" l="1"/>
  <c r="B6" i="3"/>
  <c r="B10" i="3" s="1"/>
  <c r="C10" i="3" s="1"/>
  <c r="B12" i="3"/>
  <c r="C12" i="3" s="1"/>
  <c r="B11" i="3"/>
  <c r="B13" i="3"/>
  <c r="C13" i="3" s="1"/>
  <c r="B36" i="16" l="1"/>
  <c r="E36" i="16" s="1"/>
  <c r="B37" i="16"/>
  <c r="E37" i="16" s="1"/>
  <c r="I71" i="16"/>
  <c r="H72" i="16" s="1"/>
  <c r="D71" i="16"/>
  <c r="B15" i="3"/>
  <c r="C15" i="3" s="1"/>
  <c r="B20" i="3"/>
  <c r="C20" i="3" s="1"/>
  <c r="B21" i="3"/>
  <c r="C21" i="3" s="1"/>
  <c r="B16" i="3"/>
  <c r="C16" i="3" s="1"/>
  <c r="B22" i="3"/>
  <c r="C22" i="3" s="1"/>
  <c r="B17" i="3"/>
  <c r="C17" i="3" s="1"/>
  <c r="B14" i="3"/>
  <c r="C14" i="3" s="1"/>
  <c r="B24" i="3"/>
  <c r="C24" i="3" s="1"/>
  <c r="B25" i="3"/>
  <c r="C25" i="3" s="1"/>
  <c r="B18" i="3"/>
  <c r="C18" i="3" s="1"/>
  <c r="C9" i="3"/>
  <c r="B19" i="3"/>
  <c r="B23" i="3"/>
  <c r="C11" i="3"/>
  <c r="C36" i="16" l="1"/>
  <c r="C37" i="16"/>
  <c r="G23" i="3"/>
  <c r="B27" i="3"/>
  <c r="C19" i="3"/>
  <c r="C23" i="3"/>
  <c r="C27" i="3"/>
  <c r="C72" i="16" l="1"/>
  <c r="B45" i="16" l="1"/>
  <c r="E45" i="16" s="1"/>
  <c r="B29" i="16"/>
  <c r="E29" i="16" s="1"/>
  <c r="I72" i="16"/>
  <c r="H73" i="16" s="1"/>
  <c r="D72" i="16"/>
  <c r="C29" i="16" s="1"/>
  <c r="C45" i="16" l="1"/>
  <c r="C73" i="16" l="1"/>
  <c r="B44" i="16" l="1"/>
  <c r="E44" i="16" s="1"/>
  <c r="B47" i="16"/>
  <c r="E47" i="16" s="1"/>
  <c r="I73" i="16"/>
  <c r="H74" i="16" s="1"/>
  <c r="D73" i="16"/>
  <c r="C47" i="16" s="1"/>
  <c r="C44" i="16" l="1"/>
  <c r="C74" i="16" l="1"/>
  <c r="B35" i="16" s="1"/>
  <c r="E35" i="16" s="1"/>
  <c r="I74" i="16" l="1"/>
  <c r="H75" i="16" s="1"/>
  <c r="D74" i="16"/>
  <c r="C75" i="16" l="1"/>
  <c r="C35" i="16"/>
  <c r="B27" i="16" l="1"/>
  <c r="E27" i="16" s="1"/>
  <c r="B33" i="16"/>
  <c r="E33" i="16" s="1"/>
  <c r="B31" i="16"/>
  <c r="E31" i="16" s="1"/>
  <c r="I75" i="16"/>
  <c r="H76" i="16" s="1"/>
  <c r="D75" i="16"/>
  <c r="C27" i="16" l="1"/>
  <c r="C33" i="16"/>
  <c r="C76" i="16"/>
  <c r="C31" i="16"/>
  <c r="I76" i="16" l="1"/>
  <c r="D76" i="16"/>
  <c r="B43" i="16"/>
  <c r="E43" i="16" s="1"/>
  <c r="C43" i="16" l="1"/>
  <c r="H77" i="16"/>
  <c r="C77" i="16" l="1"/>
  <c r="I77" i="16" l="1"/>
  <c r="D77" i="16"/>
  <c r="B30" i="16"/>
  <c r="E30" i="16" s="1"/>
  <c r="C30" i="16" l="1"/>
  <c r="H78" i="16"/>
  <c r="C78" i="16" l="1"/>
  <c r="H89" i="16"/>
  <c r="C89" i="16" s="1"/>
  <c r="D89" i="16" l="1"/>
  <c r="I89" i="16"/>
  <c r="H90" i="16" s="1"/>
  <c r="C90" i="16" s="1"/>
  <c r="B28" i="16"/>
  <c r="I78" i="16"/>
  <c r="D78" i="16"/>
  <c r="C86" i="16"/>
  <c r="B60" i="16" l="1"/>
  <c r="E28" i="16"/>
  <c r="J78" i="16"/>
  <c r="J65" i="16"/>
  <c r="D31" i="16" s="1"/>
  <c r="J76" i="16"/>
  <c r="J64" i="16"/>
  <c r="D39" i="16" s="1"/>
  <c r="J73" i="16"/>
  <c r="J69" i="16"/>
  <c r="J75" i="16"/>
  <c r="D33" i="16" s="1"/>
  <c r="J74" i="16"/>
  <c r="J68" i="16"/>
  <c r="J70" i="16"/>
  <c r="J67" i="16"/>
  <c r="J66" i="16"/>
  <c r="D51" i="16" s="1"/>
  <c r="J77" i="16"/>
  <c r="J63" i="16"/>
  <c r="D52" i="16" s="1"/>
  <c r="J71" i="16"/>
  <c r="J72" i="16"/>
  <c r="C28" i="16"/>
  <c r="C60" i="16" s="1"/>
  <c r="H5" i="16" s="1"/>
  <c r="I5" i="16" s="1"/>
  <c r="D86" i="16"/>
  <c r="D90" i="16"/>
  <c r="I90" i="16"/>
  <c r="H91" i="16" s="1"/>
  <c r="C91" i="16" s="1"/>
  <c r="D45" i="16" l="1"/>
  <c r="K72" i="16"/>
  <c r="D35" i="16"/>
  <c r="K74" i="16"/>
  <c r="K69" i="16"/>
  <c r="D47" i="16"/>
  <c r="D36" i="16"/>
  <c r="K71" i="16"/>
  <c r="K73" i="16"/>
  <c r="D44" i="16"/>
  <c r="D91" i="16"/>
  <c r="I91" i="16"/>
  <c r="H92" i="16" s="1"/>
  <c r="C92" i="16" s="1"/>
  <c r="K64" i="16"/>
  <c r="D38" i="16"/>
  <c r="K63" i="16"/>
  <c r="D50" i="16"/>
  <c r="K77" i="16"/>
  <c r="D30" i="16"/>
  <c r="D48" i="16"/>
  <c r="K66" i="16"/>
  <c r="K75" i="16"/>
  <c r="D27" i="16"/>
  <c r="D37" i="16"/>
  <c r="K67" i="16"/>
  <c r="K76" i="16"/>
  <c r="D43" i="16"/>
  <c r="D46" i="16"/>
  <c r="K70" i="16"/>
  <c r="D49" i="16"/>
  <c r="K65" i="16"/>
  <c r="D29" i="16"/>
  <c r="K68" i="16"/>
  <c r="K78" i="16"/>
  <c r="D28" i="16"/>
  <c r="H19" i="16" l="1"/>
  <c r="D92" i="16"/>
  <c r="I92" i="16"/>
  <c r="H93" i="16" s="1"/>
  <c r="C93" i="16" s="1"/>
  <c r="H32" i="16" s="1"/>
  <c r="I93" i="16" l="1"/>
  <c r="H94" i="16" s="1"/>
  <c r="C94" i="16" s="1"/>
  <c r="H34" i="16" s="1"/>
  <c r="D93" i="16"/>
  <c r="I32" i="16" s="1"/>
  <c r="I94" i="16" l="1"/>
  <c r="D94" i="16"/>
  <c r="I34" i="16" l="1"/>
  <c r="H95" i="16"/>
  <c r="C95" i="16" s="1"/>
  <c r="H33" i="16" s="1"/>
  <c r="I95" i="16" l="1"/>
  <c r="D95" i="16"/>
  <c r="I33" i="16" l="1"/>
  <c r="H96" i="16"/>
  <c r="C96" i="16" s="1"/>
  <c r="H31" i="16" s="1"/>
  <c r="I96" i="16" l="1"/>
  <c r="D96" i="16"/>
  <c r="I31" i="16" l="1"/>
  <c r="H97" i="16"/>
  <c r="C97" i="16" s="1"/>
  <c r="H28" i="16" l="1"/>
  <c r="H36" i="16"/>
  <c r="I97" i="16"/>
  <c r="D97" i="16"/>
  <c r="I36" i="16" s="1"/>
  <c r="I28" i="16" l="1"/>
  <c r="H98" i="16"/>
  <c r="C98" i="16" s="1"/>
  <c r="H30" i="16" l="1"/>
  <c r="H38" i="16"/>
  <c r="I98" i="16"/>
  <c r="D98" i="16"/>
  <c r="I38" i="16" s="1"/>
  <c r="I30" i="16" l="1"/>
  <c r="H99" i="16"/>
  <c r="C99" i="16" s="1"/>
  <c r="H29" i="16" l="1"/>
  <c r="H37" i="16"/>
  <c r="D99" i="16"/>
  <c r="I99" i="16"/>
  <c r="I29" i="16" l="1"/>
  <c r="I37" i="16"/>
  <c r="H100" i="16"/>
  <c r="C100" i="16" s="1"/>
  <c r="H27" i="16" l="1"/>
  <c r="H35" i="16"/>
  <c r="C112" i="16"/>
  <c r="I100" i="16"/>
  <c r="D100" i="16"/>
  <c r="I35" i="16" s="1"/>
  <c r="H60" i="16" l="1"/>
  <c r="D112" i="16"/>
  <c r="I27" i="16"/>
  <c r="I60" i="16" s="1"/>
  <c r="H7" i="16" s="1"/>
  <c r="J100" i="16"/>
  <c r="J92" i="16"/>
  <c r="J93" i="16"/>
  <c r="J91" i="16"/>
  <c r="J90" i="16"/>
  <c r="J89" i="16"/>
  <c r="J96" i="16"/>
  <c r="J95" i="16"/>
  <c r="J94" i="16"/>
  <c r="J97" i="16"/>
  <c r="J98" i="16"/>
  <c r="J99" i="16"/>
  <c r="K93" i="16" l="1"/>
  <c r="J32" i="16"/>
  <c r="J37" i="16"/>
  <c r="K91" i="16"/>
  <c r="K89" i="16"/>
  <c r="J36" i="16"/>
  <c r="K99" i="16"/>
  <c r="J29" i="16"/>
  <c r="K98" i="16"/>
  <c r="J30" i="16"/>
  <c r="J35" i="16"/>
  <c r="K92" i="16"/>
  <c r="K94" i="16"/>
  <c r="J34" i="16"/>
  <c r="K100" i="16"/>
  <c r="J27" i="16"/>
  <c r="K95" i="16"/>
  <c r="J33" i="16"/>
  <c r="K90" i="16"/>
  <c r="J38" i="16"/>
  <c r="K97" i="16"/>
  <c r="J28" i="16"/>
  <c r="K96" i="16"/>
  <c r="J31" i="16"/>
</calcChain>
</file>

<file path=xl/sharedStrings.xml><?xml version="1.0" encoding="utf-8"?>
<sst xmlns="http://schemas.openxmlformats.org/spreadsheetml/2006/main" count="401" uniqueCount="193">
  <si>
    <t>ROUNDING</t>
  </si>
  <si>
    <t>ROUND</t>
  </si>
  <si>
    <t>Target  Leadership</t>
  </si>
  <si>
    <t>Ratio to Calculate G9 F</t>
  </si>
  <si>
    <t>Experimental</t>
  </si>
  <si>
    <t>G9 F Simulation</t>
  </si>
  <si>
    <t>TROOPS</t>
  </si>
  <si>
    <t>LEADERSHIP</t>
  </si>
  <si>
    <t>G9 Mounted</t>
  </si>
  <si>
    <t>S9 Mounted</t>
  </si>
  <si>
    <t>G8 Mounted</t>
  </si>
  <si>
    <t>S8 Mounted</t>
  </si>
  <si>
    <t>G8 Melee</t>
  </si>
  <si>
    <t>S8 Melee</t>
  </si>
  <si>
    <t>Regular Troops</t>
  </si>
  <si>
    <t>RATIO</t>
  </si>
  <si>
    <t>DON’T TOUCH</t>
  </si>
  <si>
    <t>G9 Flying</t>
  </si>
  <si>
    <t>S9 Flying</t>
  </si>
  <si>
    <t>G8 Flying</t>
  </si>
  <si>
    <t>S8 Flying</t>
  </si>
  <si>
    <t>G7 Flying</t>
  </si>
  <si>
    <t>G9 Ranged</t>
  </si>
  <si>
    <t>S9 Ranged</t>
  </si>
  <si>
    <t>G8 Ranged</t>
  </si>
  <si>
    <t>S8 Ranged</t>
  </si>
  <si>
    <t>S9 Melee</t>
  </si>
  <si>
    <t>Army Mod</t>
  </si>
  <si>
    <t>Customization Bonus</t>
  </si>
  <si>
    <t>Hall of Fame</t>
  </si>
  <si>
    <t>Base Health</t>
  </si>
  <si>
    <t>Total Bonus</t>
  </si>
  <si>
    <t>Health of Artifact</t>
  </si>
  <si>
    <t>Health of Equipment</t>
  </si>
  <si>
    <t>Talents (Troop Type)</t>
  </si>
  <si>
    <t>G9 Melee</t>
  </si>
  <si>
    <t>Talents (G/S)</t>
  </si>
  <si>
    <t>Dragon</t>
  </si>
  <si>
    <t>VIP</t>
  </si>
  <si>
    <t>Clan Capital</t>
  </si>
  <si>
    <t>Personal Bonuses</t>
  </si>
  <si>
    <t>Great Marshal</t>
  </si>
  <si>
    <t>Base Bonus</t>
  </si>
  <si>
    <t xml:space="preserve">Great Marshal </t>
  </si>
  <si>
    <t>ON</t>
  </si>
  <si>
    <t>Guardsmen</t>
  </si>
  <si>
    <t>Specialists</t>
  </si>
  <si>
    <t>G9 Flyings</t>
  </si>
  <si>
    <t>G8 Flyings</t>
  </si>
  <si>
    <t>G7 Flyings</t>
  </si>
  <si>
    <t>G7 Mounted</t>
  </si>
  <si>
    <t>G7 Ranged</t>
  </si>
  <si>
    <t>G7 Melee</t>
  </si>
  <si>
    <t>G6 Flyings</t>
  </si>
  <si>
    <t>G6 Mounted</t>
  </si>
  <si>
    <t>G6 Ranged</t>
  </si>
  <si>
    <t>G6 Melee</t>
  </si>
  <si>
    <t>G5 Flyings</t>
  </si>
  <si>
    <t>G5 Mounted</t>
  </si>
  <si>
    <t>G5 Ranged</t>
  </si>
  <si>
    <t>G5 Melee</t>
  </si>
  <si>
    <t>S9 Flyings</t>
  </si>
  <si>
    <t>S8 Flyings</t>
  </si>
  <si>
    <t>S7 Flyings</t>
  </si>
  <si>
    <t>S7 Mounted</t>
  </si>
  <si>
    <t>S7 Ranged</t>
  </si>
  <si>
    <t>S7 Melee</t>
  </si>
  <si>
    <t>S6 Flyings</t>
  </si>
  <si>
    <t>S6 Mounted</t>
  </si>
  <si>
    <t>S6 Ranged</t>
  </si>
  <si>
    <t>S6 Melee</t>
  </si>
  <si>
    <t>S5 Flyings</t>
  </si>
  <si>
    <t>S5 Mounted</t>
  </si>
  <si>
    <t>S5 Ranged</t>
  </si>
  <si>
    <t>S5 Melee</t>
  </si>
  <si>
    <t>Beast Bonus</t>
  </si>
  <si>
    <t>Beasts Bonus (Talents)</t>
  </si>
  <si>
    <t>Health of Captain (Army)</t>
  </si>
  <si>
    <t>Captain Bonus for Guardsmen</t>
  </si>
  <si>
    <t>Captain Bonus for Specialits</t>
  </si>
  <si>
    <t>Captain Bonus for Flyings</t>
  </si>
  <si>
    <t>Captain Bonus for Melee</t>
  </si>
  <si>
    <t>Captain Bonus for Mounted</t>
  </si>
  <si>
    <t>Captain Bonus for Ranged</t>
  </si>
  <si>
    <t xml:space="preserve">Total Health Bonus </t>
  </si>
  <si>
    <t>Flyings Bonus</t>
  </si>
  <si>
    <t>Mounted Bonus</t>
  </si>
  <si>
    <t>Ranged Bonus</t>
  </si>
  <si>
    <t>Melee Bonus</t>
  </si>
  <si>
    <t>Guardsmen Bonus</t>
  </si>
  <si>
    <t>Stacks</t>
  </si>
  <si>
    <t>Health per Troop</t>
  </si>
  <si>
    <t>Army</t>
  </si>
  <si>
    <t>Total</t>
  </si>
  <si>
    <t>Leadership</t>
  </si>
  <si>
    <t>TOTAL</t>
  </si>
  <si>
    <t>Rounding</t>
  </si>
  <si>
    <t>Leadership per Troop</t>
  </si>
  <si>
    <t>Leadership per Active Troop</t>
  </si>
  <si>
    <t>Target Health per Stack</t>
  </si>
  <si>
    <t>Actual Health per Stack</t>
  </si>
  <si>
    <t>Target Leadership:</t>
  </si>
  <si>
    <t>Stacks lvl 1</t>
  </si>
  <si>
    <t>Stacks lvl 2</t>
  </si>
  <si>
    <t>Stacks lvl 3</t>
  </si>
  <si>
    <t>Stack lvl 1 %</t>
  </si>
  <si>
    <t>Stack lvl 2 %</t>
  </si>
  <si>
    <t>Stack lvl 3 %</t>
  </si>
  <si>
    <t>Number of Stacks Active</t>
  </si>
  <si>
    <t>G4 Mounted</t>
  </si>
  <si>
    <t>G4 Ranged</t>
  </si>
  <si>
    <t>G4 Melee</t>
  </si>
  <si>
    <t>G3 Mounted</t>
  </si>
  <si>
    <t>G3 Ranged</t>
  </si>
  <si>
    <t>G3 Melee</t>
  </si>
  <si>
    <t>G2 Mounted</t>
  </si>
  <si>
    <t>G2 Ranged</t>
  </si>
  <si>
    <t>G2 Melee</t>
  </si>
  <si>
    <t>G1 Mounted</t>
  </si>
  <si>
    <t>G1 Ranged</t>
  </si>
  <si>
    <t>G1 Melee</t>
  </si>
  <si>
    <t>S4 Melee</t>
  </si>
  <si>
    <t>S3 Melee</t>
  </si>
  <si>
    <t>S2 Melee</t>
  </si>
  <si>
    <t>S1 Melee</t>
  </si>
  <si>
    <t>Monsters</t>
  </si>
  <si>
    <t>M9 Ranged</t>
  </si>
  <si>
    <t>M9 Melee</t>
  </si>
  <si>
    <t>M9 Mounted</t>
  </si>
  <si>
    <t>M8 Ranged</t>
  </si>
  <si>
    <t>M8 Melee</t>
  </si>
  <si>
    <t>M8 Mounted</t>
  </si>
  <si>
    <t>M7 Ranged</t>
  </si>
  <si>
    <t>M7 Melee</t>
  </si>
  <si>
    <t>M7 Mounted</t>
  </si>
  <si>
    <t>M9 Flyings</t>
  </si>
  <si>
    <t>M8 Flyings</t>
  </si>
  <si>
    <t>M7 Flyings</t>
  </si>
  <si>
    <t>Dominance Per Troop</t>
  </si>
  <si>
    <t>Dominance</t>
  </si>
  <si>
    <t>Normal Troops</t>
  </si>
  <si>
    <t>Target Dominance:</t>
  </si>
  <si>
    <t>Calculated Dominance:</t>
  </si>
  <si>
    <t>Calculated Leadership:</t>
  </si>
  <si>
    <t>M6 Mounted</t>
  </si>
  <si>
    <t>Active Case</t>
  </si>
  <si>
    <t>Arachne</t>
  </si>
  <si>
    <t>Ancient</t>
  </si>
  <si>
    <t>CP</t>
  </si>
  <si>
    <t>Dominance per Active Troop</t>
  </si>
  <si>
    <t>INPUTS</t>
  </si>
  <si>
    <t>INPUTS (transfer from Calcs)</t>
  </si>
  <si>
    <t>Specialist Bonus</t>
  </si>
  <si>
    <t>Choose Opponent</t>
  </si>
  <si>
    <t>Level</t>
  </si>
  <si>
    <t>Troop Level</t>
  </si>
  <si>
    <t>Max Stack Level</t>
  </si>
  <si>
    <t>Use Increased Buffer</t>
  </si>
  <si>
    <t>Troops Step</t>
  </si>
  <si>
    <t>Monsters Step</t>
  </si>
  <si>
    <t>Actual Rank</t>
  </si>
  <si>
    <t>Error Check</t>
  </si>
  <si>
    <t>M6 Jungle Melee</t>
  </si>
  <si>
    <t xml:space="preserve">M6 Dragon Melee </t>
  </si>
  <si>
    <t>M6 Golem Melee</t>
  </si>
  <si>
    <t>M5 Ettin Melee</t>
  </si>
  <si>
    <t>M5 Desert Mounted</t>
  </si>
  <si>
    <t>M5 Centaur Mounted</t>
  </si>
  <si>
    <t>M5 Manticore Flyings</t>
  </si>
  <si>
    <t>M4 Dragon Ranged</t>
  </si>
  <si>
    <t>M4 Medusa Ranged</t>
  </si>
  <si>
    <t>M4 Guardian Melee</t>
  </si>
  <si>
    <t>M4 Phoenix Flyings</t>
  </si>
  <si>
    <t>M3 Elemental Ranged</t>
  </si>
  <si>
    <t>M3 Boar Mounted</t>
  </si>
  <si>
    <t>M3 Dragon Flyings</t>
  </si>
  <si>
    <t>M3 Gargoyle Flyings</t>
  </si>
  <si>
    <t>Target Max Stack Health Troops</t>
  </si>
  <si>
    <t>Step</t>
  </si>
  <si>
    <t>Flyings Step</t>
  </si>
  <si>
    <t>Aratilar</t>
  </si>
  <si>
    <t>Arradin</t>
  </si>
  <si>
    <t>Troidor</t>
  </si>
  <si>
    <t>SILVER</t>
  </si>
  <si>
    <t>EPIC TAR</t>
  </si>
  <si>
    <t>RARE TAR</t>
  </si>
  <si>
    <t>DCs</t>
  </si>
  <si>
    <t>Clan Army Health Bonus</t>
  </si>
  <si>
    <t>Mounted Step</t>
  </si>
  <si>
    <t>Ranged Step</t>
  </si>
  <si>
    <t>Melee Step</t>
  </si>
  <si>
    <t>Adjusted Step</t>
  </si>
  <si>
    <t>Aradin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</si>
</sst>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#,##0.0"/>
    <numFmt numFmtId="166" formatCode="0.0%"/>
  </numFmts>
  <fonts count="7" x14ac:knownFonts="1">
    <font>
      <sz val="11"/>
      <color theme="1"/>
      <name val="Aptos"/>
      <family val="2"/>
      <charset val="161"/>
    </font>
    <font>
      <b/>
      <sz val="11"/>
      <color theme="1"/>
      <name val="Aptos"/>
      <family val="2"/>
    </font>
    <font>
      <b/>
      <sz val="11"/>
      <color rgb="FFFF0000"/>
      <name val="Aptos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10" fontId="0" fillId="0" borderId="0" xfId="0" applyNumberFormat="1"/>
    <xf numFmtId="3" fontId="0" fillId="0" borderId="0" xfId="0" applyNumberFormat="1"/>
    <xf numFmtId="4" fontId="0" fillId="0" borderId="0" xfId="0" applyNumberFormat="1"/>
    <xf numFmtId="0" fontId="1" fillId="0" borderId="0" xfId="0" applyFont="1"/>
    <xf numFmtId="3" fontId="1" fillId="0" borderId="0" xfId="0" applyNumberFormat="1" applyFont="1"/>
    <xf numFmtId="4" fontId="1" fillId="0" borderId="0" xfId="0" applyNumberFormat="1" applyFont="1"/>
    <xf numFmtId="0" fontId="0" fillId="0" borderId="0" xfId="0" applyAlignment="1">
      <alignment horizontal="center"/>
    </xf>
    <xf numFmtId="3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3" borderId="0" xfId="0" applyFill="1"/>
    <xf numFmtId="3" fontId="3" fillId="4" borderId="0" xfId="0" applyNumberFormat="1" applyFont="1" applyFill="1" applyAlignment="1">
      <alignment horizontal="center" vertical="center"/>
    </xf>
    <xf numFmtId="9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10" fontId="0" fillId="2" borderId="0" xfId="0" applyNumberFormat="1" applyFill="1" applyAlignment="1">
      <alignment horizontal="center"/>
    </xf>
    <xf numFmtId="0" fontId="4" fillId="0" borderId="0" xfId="0" applyFont="1"/>
    <xf numFmtId="166" fontId="0" fillId="2" borderId="0" xfId="0" applyNumberFormat="1" applyFill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0" fontId="6" fillId="0" borderId="0" xfId="1" applyFont="1" applyAlignment="1">
      <alignment horizontal="left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0" xfId="0" applyFill="1"/>
    <xf numFmtId="3" fontId="0" fillId="2" borderId="0" xfId="0" applyNumberFormat="1" applyFill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6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</cellXfs>
  <cellStyles count="2">
    <cellStyle name="Κανονικό" xfId="0" builtinId="0"/>
    <cellStyle name="Κανονικό 2" xfId="1" xr:uid="{E3520130-56F8-474F-8B8E-80ACAAE19B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647F-0523-B44C-9FEC-8EA847F69B1A}">
  <dimension ref="A1:Q27"/>
  <sheetViews>
    <sheetView workbookViewId="0">
      <selection activeCell="B2" sqref="B2"/>
    </sheetView>
  </sheetViews>
  <sheetFormatPr defaultColWidth="8.875" defaultRowHeight="15" outlineLevelCol="1" x14ac:dyDescent="0.25"/>
  <cols>
    <col min="1" max="1" width="19.625" bestFit="1" customWidth="1"/>
    <col min="2" max="2" width="14.125" customWidth="1"/>
    <col min="3" max="3" width="13.125" customWidth="1"/>
    <col min="4" max="4" width="13.5" customWidth="1" outlineLevel="1"/>
    <col min="5" max="6" width="9" customWidth="1" outlineLevel="1"/>
    <col min="7" max="7" width="18.375" customWidth="1"/>
    <col min="8" max="8" width="13.375" customWidth="1"/>
    <col min="11" max="11" width="7.375" bestFit="1" customWidth="1"/>
  </cols>
  <sheetData>
    <row r="1" spans="1:17" x14ac:dyDescent="0.25">
      <c r="A1" t="s">
        <v>0</v>
      </c>
      <c r="B1" s="1">
        <v>-1</v>
      </c>
      <c r="E1" t="s">
        <v>1</v>
      </c>
      <c r="F1">
        <v>-1</v>
      </c>
    </row>
    <row r="2" spans="1:17" x14ac:dyDescent="0.25">
      <c r="A2" t="s">
        <v>2</v>
      </c>
      <c r="B2" s="2">
        <v>531062</v>
      </c>
      <c r="I2" s="41"/>
      <c r="J2" s="41"/>
      <c r="K2" s="41"/>
      <c r="L2" s="41"/>
      <c r="M2" s="41"/>
    </row>
    <row r="3" spans="1:17" x14ac:dyDescent="0.25">
      <c r="A3" t="s">
        <v>3</v>
      </c>
      <c r="B3" s="11">
        <v>1.82E-3</v>
      </c>
      <c r="C3" t="s">
        <v>4</v>
      </c>
    </row>
    <row r="4" spans="1:17" x14ac:dyDescent="0.25">
      <c r="A4" t="s">
        <v>5</v>
      </c>
      <c r="B4" s="10">
        <f>+B2*B3</f>
        <v>966.53283999999996</v>
      </c>
      <c r="C4" t="s">
        <v>4</v>
      </c>
    </row>
    <row r="5" spans="1:17" x14ac:dyDescent="0.25">
      <c r="B5" t="s">
        <v>6</v>
      </c>
      <c r="C5" t="s">
        <v>7</v>
      </c>
    </row>
    <row r="6" spans="1:17" x14ac:dyDescent="0.25">
      <c r="A6" s="15" t="s">
        <v>16</v>
      </c>
      <c r="B6" s="16">
        <f>B4</f>
        <v>966.53283999999996</v>
      </c>
      <c r="C6" s="4"/>
      <c r="D6" s="3"/>
      <c r="F6" s="5"/>
    </row>
    <row r="7" spans="1:17" x14ac:dyDescent="0.25">
      <c r="H7" s="12"/>
    </row>
    <row r="8" spans="1:17" x14ac:dyDescent="0.25">
      <c r="D8" s="13" t="s">
        <v>15</v>
      </c>
      <c r="H8" s="14"/>
    </row>
    <row r="9" spans="1:17" x14ac:dyDescent="0.25">
      <c r="A9" t="s">
        <v>17</v>
      </c>
      <c r="B9" s="7">
        <f>ROUNDDOWN(B4,-1)</f>
        <v>960</v>
      </c>
      <c r="C9" s="4">
        <f>+B6*20</f>
        <v>19330.656800000001</v>
      </c>
      <c r="G9" s="9"/>
    </row>
    <row r="10" spans="1:17" x14ac:dyDescent="0.25">
      <c r="A10" t="s">
        <v>18</v>
      </c>
      <c r="B10" s="4">
        <f>+ROUNDDOWN($B$6*D10,$B$1)</f>
        <v>960</v>
      </c>
      <c r="C10" s="4">
        <f>+B10*20</f>
        <v>19200</v>
      </c>
      <c r="D10">
        <v>1</v>
      </c>
      <c r="E10">
        <v>720</v>
      </c>
      <c r="F10" s="5"/>
      <c r="G10" s="9"/>
    </row>
    <row r="11" spans="1:17" x14ac:dyDescent="0.25">
      <c r="A11" t="s">
        <v>19</v>
      </c>
      <c r="B11" s="4">
        <f>+ROUND($B$6*D11,$B$1)</f>
        <v>1880</v>
      </c>
      <c r="C11" s="4">
        <f>+B11*20</f>
        <v>37600</v>
      </c>
      <c r="D11" s="5">
        <v>1.944</v>
      </c>
      <c r="E11">
        <v>1400</v>
      </c>
      <c r="F11" s="5"/>
      <c r="G11" s="9"/>
    </row>
    <row r="12" spans="1:17" x14ac:dyDescent="0.25">
      <c r="A12" t="s">
        <v>20</v>
      </c>
      <c r="B12" s="4">
        <f>+ROUND($B$6*D12,$B$1)</f>
        <v>1870</v>
      </c>
      <c r="C12" s="4">
        <f>+B12*20</f>
        <v>37400</v>
      </c>
      <c r="D12" s="5">
        <v>1.93</v>
      </c>
      <c r="E12">
        <v>1390</v>
      </c>
      <c r="F12" s="5"/>
      <c r="G12" s="9"/>
    </row>
    <row r="13" spans="1:17" x14ac:dyDescent="0.25">
      <c r="A13" t="s">
        <v>21</v>
      </c>
      <c r="B13" s="4">
        <f>+ROUND($B$6*D13,$B$1)</f>
        <v>3440</v>
      </c>
      <c r="C13" s="4">
        <f>+B13*20</f>
        <v>68800</v>
      </c>
      <c r="D13" s="5">
        <v>3.5550000000000002</v>
      </c>
      <c r="E13">
        <v>2560</v>
      </c>
      <c r="F13" s="5"/>
      <c r="G13" s="9"/>
    </row>
    <row r="14" spans="1:17" x14ac:dyDescent="0.25">
      <c r="A14" t="s">
        <v>8</v>
      </c>
      <c r="B14" s="4">
        <f>+ROUNDDOWN($B$6*D14,$B$1)</f>
        <v>9670</v>
      </c>
      <c r="C14" s="4">
        <f>+B14*2</f>
        <v>19340</v>
      </c>
      <c r="D14" s="5">
        <v>10.013999999999999</v>
      </c>
      <c r="E14">
        <v>7210</v>
      </c>
      <c r="F14" s="5"/>
      <c r="G14" s="9"/>
      <c r="Q14" s="5"/>
    </row>
    <row r="15" spans="1:17" x14ac:dyDescent="0.25">
      <c r="A15" t="s">
        <v>9</v>
      </c>
      <c r="B15" s="4">
        <f>+ROUNDDOWN($B$6*D15,$B$1)</f>
        <v>9940</v>
      </c>
      <c r="C15" s="4">
        <f>+B15*2</f>
        <v>19880</v>
      </c>
      <c r="D15" s="5">
        <v>10.291</v>
      </c>
      <c r="E15">
        <v>7410</v>
      </c>
      <c r="F15" s="5"/>
      <c r="G15" s="9"/>
    </row>
    <row r="16" spans="1:17" x14ac:dyDescent="0.25">
      <c r="A16" t="s">
        <v>10</v>
      </c>
      <c r="B16" s="4">
        <f>+ROUND($B$6*D16,$B$1)</f>
        <v>19060</v>
      </c>
      <c r="C16" s="4">
        <f>+B16*2</f>
        <v>38120</v>
      </c>
      <c r="D16" s="5">
        <v>19.722000000000001</v>
      </c>
      <c r="E16">
        <v>14200</v>
      </c>
      <c r="F16" s="5"/>
      <c r="G16" s="9"/>
    </row>
    <row r="17" spans="1:17" x14ac:dyDescent="0.25">
      <c r="A17" t="s">
        <v>11</v>
      </c>
      <c r="B17" s="4">
        <f>+ROUND($B$6*D17,$B$1)</f>
        <v>19440</v>
      </c>
      <c r="C17" s="4">
        <f>+B17*2</f>
        <v>38880</v>
      </c>
      <c r="D17" s="5">
        <v>20.111000000000001</v>
      </c>
      <c r="E17">
        <v>14480</v>
      </c>
      <c r="F17" s="5"/>
      <c r="G17" s="9"/>
    </row>
    <row r="18" spans="1:17" x14ac:dyDescent="0.25">
      <c r="A18" t="s">
        <v>22</v>
      </c>
      <c r="B18" s="4">
        <f>+ROUNDDOWN($B$6*D18,$B$1)</f>
        <v>19140</v>
      </c>
      <c r="C18" s="4">
        <f t="shared" ref="C18:C25" si="0">+B18</f>
        <v>19140</v>
      </c>
      <c r="D18" s="5">
        <v>19.805</v>
      </c>
      <c r="E18">
        <v>14260</v>
      </c>
      <c r="F18" s="5"/>
      <c r="G18" s="9"/>
    </row>
    <row r="19" spans="1:17" x14ac:dyDescent="0.25">
      <c r="A19" t="s">
        <v>8</v>
      </c>
      <c r="B19" s="4">
        <f>+ROUNDDOWN($B$6*D19,$B$1)</f>
        <v>19430</v>
      </c>
      <c r="C19" s="4">
        <f t="shared" si="0"/>
        <v>19430</v>
      </c>
      <c r="D19" s="5">
        <v>20.111000000000001</v>
      </c>
      <c r="E19">
        <v>14480</v>
      </c>
      <c r="F19" s="5"/>
      <c r="G19" s="9"/>
      <c r="Q19" s="5"/>
    </row>
    <row r="20" spans="1:17" x14ac:dyDescent="0.25">
      <c r="A20" t="s">
        <v>23</v>
      </c>
      <c r="B20" s="4">
        <f>+ROUNDDOWN($B$6*D20,$B$1)</f>
        <v>19540</v>
      </c>
      <c r="C20" s="4">
        <f t="shared" si="0"/>
        <v>19540</v>
      </c>
      <c r="D20" s="5">
        <f>+D18*1.0211</f>
        <v>20.222885499999997</v>
      </c>
      <c r="E20">
        <v>14560</v>
      </c>
      <c r="F20" s="5"/>
      <c r="G20" s="9"/>
      <c r="Q20" s="5"/>
    </row>
    <row r="21" spans="1:17" x14ac:dyDescent="0.25">
      <c r="A21" t="s">
        <v>22</v>
      </c>
      <c r="B21" s="4">
        <f>+ROUNDDOWN($B$6*D21,$B$1)</f>
        <v>20000</v>
      </c>
      <c r="C21" s="4">
        <f t="shared" si="0"/>
        <v>20000</v>
      </c>
      <c r="D21" s="5">
        <f>+D19*1.029</f>
        <v>20.694219</v>
      </c>
      <c r="E21">
        <v>14900</v>
      </c>
      <c r="F21" s="5"/>
      <c r="G21" s="9"/>
    </row>
    <row r="22" spans="1:17" x14ac:dyDescent="0.25">
      <c r="A22" t="s">
        <v>24</v>
      </c>
      <c r="B22" s="4">
        <f>+ROUND($B$6*D22,$B$1)</f>
        <v>37180</v>
      </c>
      <c r="C22" s="4">
        <f t="shared" si="0"/>
        <v>37180</v>
      </c>
      <c r="D22" s="5">
        <v>38.472000000000001</v>
      </c>
      <c r="E22">
        <v>27700</v>
      </c>
      <c r="F22" s="5"/>
      <c r="G22" s="9"/>
    </row>
    <row r="23" spans="1:17" x14ac:dyDescent="0.25">
      <c r="A23" t="s">
        <v>12</v>
      </c>
      <c r="B23" s="4">
        <f>+ROUND($B$6*D23,$B$1)</f>
        <v>38260</v>
      </c>
      <c r="C23" s="4">
        <f t="shared" si="0"/>
        <v>38260</v>
      </c>
      <c r="D23" s="5">
        <v>39.584000000000003</v>
      </c>
      <c r="E23">
        <v>28500</v>
      </c>
      <c r="F23" s="5"/>
      <c r="G23" s="9">
        <f>B23/B25</f>
        <v>0.982789622399178</v>
      </c>
    </row>
    <row r="24" spans="1:17" x14ac:dyDescent="0.25">
      <c r="A24" t="s">
        <v>25</v>
      </c>
      <c r="B24" s="4">
        <f>+ROUND($B$6*D24,$B$1)</f>
        <v>38390</v>
      </c>
      <c r="C24" s="4">
        <f t="shared" si="0"/>
        <v>38390</v>
      </c>
      <c r="D24" s="5">
        <v>39.722000000000001</v>
      </c>
      <c r="E24">
        <v>28600</v>
      </c>
      <c r="F24" s="5"/>
      <c r="G24" s="9"/>
    </row>
    <row r="25" spans="1:17" x14ac:dyDescent="0.25">
      <c r="A25" t="s">
        <v>13</v>
      </c>
      <c r="B25" s="4">
        <f>+ROUND($B$6*D25,$B$1)</f>
        <v>38930</v>
      </c>
      <c r="C25" s="4">
        <f t="shared" si="0"/>
        <v>38930</v>
      </c>
      <c r="D25" s="5">
        <v>40.277999999999999</v>
      </c>
      <c r="E25">
        <v>29000</v>
      </c>
      <c r="F25" s="5"/>
    </row>
    <row r="26" spans="1:17" x14ac:dyDescent="0.25">
      <c r="B26" s="4"/>
      <c r="C26" s="4"/>
      <c r="D26" s="5"/>
      <c r="F26" s="8"/>
      <c r="G26" s="7"/>
    </row>
    <row r="27" spans="1:17" x14ac:dyDescent="0.25">
      <c r="A27" s="6" t="s">
        <v>14</v>
      </c>
      <c r="B27" s="7">
        <f>SUM(B11:B26)</f>
        <v>296170</v>
      </c>
      <c r="C27" s="7">
        <f>SUM(C9:C25)</f>
        <v>529420.6568</v>
      </c>
      <c r="D27" s="7"/>
    </row>
  </sheetData>
  <mergeCells count="1">
    <mergeCell ref="I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B829-F143-498D-89F5-B0070498227F}">
  <dimension ref="A1:V113"/>
  <sheetViews>
    <sheetView workbookViewId="0">
      <selection activeCell="L26" sqref="L26"/>
    </sheetView>
  </sheetViews>
  <sheetFormatPr defaultRowHeight="15" x14ac:dyDescent="0.25"/>
  <cols>
    <col min="1" max="1" width="30.25" customWidth="1"/>
    <col min="2" max="3" width="12.75" customWidth="1"/>
    <col min="6" max="6" width="12.125" customWidth="1"/>
    <col min="13" max="13" width="9.875" bestFit="1" customWidth="1"/>
    <col min="15" max="15" width="10.875" customWidth="1"/>
  </cols>
  <sheetData>
    <row r="1" spans="1:22" x14ac:dyDescent="0.25">
      <c r="A1" s="41" t="s">
        <v>151</v>
      </c>
      <c r="B1" s="41"/>
    </row>
    <row r="2" spans="1:22" x14ac:dyDescent="0.25">
      <c r="A2" s="19" t="s">
        <v>28</v>
      </c>
      <c r="B2" s="31">
        <f>+Calcs!B3</f>
        <v>0.17499999999999999</v>
      </c>
    </row>
    <row r="3" spans="1:22" x14ac:dyDescent="0.25">
      <c r="A3" s="19" t="s">
        <v>34</v>
      </c>
      <c r="B3" s="31">
        <f>+Calcs!B4</f>
        <v>2.5</v>
      </c>
    </row>
    <row r="4" spans="1:22" x14ac:dyDescent="0.25">
      <c r="A4" s="19" t="s">
        <v>36</v>
      </c>
      <c r="B4" s="31">
        <f>+Calcs!B5</f>
        <v>1.5</v>
      </c>
    </row>
    <row r="5" spans="1:22" x14ac:dyDescent="0.25">
      <c r="A5" s="19" t="s">
        <v>29</v>
      </c>
      <c r="B5" s="31">
        <f>+Calcs!B6</f>
        <v>1.2</v>
      </c>
    </row>
    <row r="6" spans="1:22" x14ac:dyDescent="0.25">
      <c r="A6" s="19" t="s">
        <v>27</v>
      </c>
      <c r="B6" s="31">
        <f>+Calcs!B7</f>
        <v>3.1</v>
      </c>
    </row>
    <row r="7" spans="1:22" x14ac:dyDescent="0.25">
      <c r="A7" s="19" t="s">
        <v>77</v>
      </c>
      <c r="B7" s="31">
        <f>+Calcs!B8</f>
        <v>0</v>
      </c>
    </row>
    <row r="8" spans="1:22" x14ac:dyDescent="0.25">
      <c r="A8" s="19" t="s">
        <v>32</v>
      </c>
      <c r="B8" s="31">
        <f>+Calcs!B9</f>
        <v>0</v>
      </c>
    </row>
    <row r="9" spans="1:22" x14ac:dyDescent="0.25">
      <c r="A9" s="19" t="s">
        <v>33</v>
      </c>
      <c r="B9" s="31">
        <f>+Calcs!B10</f>
        <v>3</v>
      </c>
    </row>
    <row r="10" spans="1:22" x14ac:dyDescent="0.25">
      <c r="A10" s="19" t="s">
        <v>37</v>
      </c>
      <c r="B10" s="31">
        <f>+Calcs!B11</f>
        <v>1.6</v>
      </c>
    </row>
    <row r="11" spans="1:22" x14ac:dyDescent="0.25">
      <c r="A11" s="19" t="s">
        <v>38</v>
      </c>
      <c r="B11" s="31">
        <f>+Calcs!B12</f>
        <v>0.09</v>
      </c>
      <c r="V11">
        <f>3*75</f>
        <v>225</v>
      </c>
    </row>
    <row r="12" spans="1:22" x14ac:dyDescent="0.25">
      <c r="A12" s="19" t="s">
        <v>39</v>
      </c>
      <c r="B12" s="31">
        <f>+Calcs!B13</f>
        <v>1</v>
      </c>
      <c r="V12">
        <f>3*100</f>
        <v>300</v>
      </c>
    </row>
    <row r="13" spans="1:22" x14ac:dyDescent="0.25">
      <c r="A13" s="19" t="s">
        <v>187</v>
      </c>
      <c r="B13" s="31">
        <f>+Calcs!B14</f>
        <v>0.25</v>
      </c>
      <c r="V13">
        <f>3*60</f>
        <v>180</v>
      </c>
    </row>
    <row r="14" spans="1:22" x14ac:dyDescent="0.25">
      <c r="A14" s="19" t="s">
        <v>40</v>
      </c>
      <c r="B14" s="31">
        <f>+Calcs!B15</f>
        <v>0.25</v>
      </c>
      <c r="L14">
        <v>1468</v>
      </c>
      <c r="M14">
        <v>1557</v>
      </c>
      <c r="N14">
        <f>+M14-L14</f>
        <v>89</v>
      </c>
      <c r="V14">
        <f>3*50</f>
        <v>150</v>
      </c>
    </row>
    <row r="15" spans="1:22" x14ac:dyDescent="0.25">
      <c r="A15" s="19" t="s">
        <v>31</v>
      </c>
      <c r="B15" s="24">
        <f>SUM(B2:B14)</f>
        <v>14.664999999999999</v>
      </c>
      <c r="C15" s="39"/>
      <c r="D15" s="17"/>
      <c r="V15">
        <f>3*25</f>
        <v>75</v>
      </c>
    </row>
    <row r="16" spans="1:22" x14ac:dyDescent="0.25">
      <c r="A16" s="19" t="s">
        <v>76</v>
      </c>
      <c r="B16" s="31">
        <f>+Calcs!B17</f>
        <v>1</v>
      </c>
      <c r="C16" s="39"/>
      <c r="D16" s="17"/>
      <c r="K16">
        <v>1572.5</v>
      </c>
      <c r="L16" s="5">
        <v>2244.5</v>
      </c>
      <c r="V16">
        <f>SUM(V11:V15)</f>
        <v>930</v>
      </c>
    </row>
    <row r="17" spans="1:16" x14ac:dyDescent="0.25">
      <c r="A17" s="19" t="s">
        <v>43</v>
      </c>
      <c r="B17" s="31" t="str">
        <f>+Calcs!B18</f>
        <v>ON</v>
      </c>
      <c r="K17">
        <v>1572.5</v>
      </c>
      <c r="L17" s="5">
        <v>2245.5</v>
      </c>
    </row>
    <row r="18" spans="1:16" x14ac:dyDescent="0.25">
      <c r="A18" s="19" t="s">
        <v>78</v>
      </c>
      <c r="B18" s="31">
        <f>+Calcs!B19</f>
        <v>0</v>
      </c>
    </row>
    <row r="19" spans="1:16" x14ac:dyDescent="0.25">
      <c r="A19" s="19" t="s">
        <v>79</v>
      </c>
      <c r="B19" s="31">
        <f>+Calcs!B20</f>
        <v>0</v>
      </c>
      <c r="D19">
        <f>54-25</f>
        <v>29</v>
      </c>
      <c r="M19">
        <f>2337-2250</f>
        <v>87</v>
      </c>
    </row>
    <row r="20" spans="1:16" x14ac:dyDescent="0.25">
      <c r="A20" s="19" t="s">
        <v>80</v>
      </c>
      <c r="B20" s="31">
        <f>+Calcs!B21</f>
        <v>0</v>
      </c>
    </row>
    <row r="21" spans="1:16" x14ac:dyDescent="0.25">
      <c r="A21" s="19" t="s">
        <v>82</v>
      </c>
      <c r="B21" s="31">
        <f>+Calcs!B22</f>
        <v>0</v>
      </c>
      <c r="L21" s="3">
        <v>21.815000000000001</v>
      </c>
      <c r="M21" s="3">
        <v>15.965</v>
      </c>
    </row>
    <row r="22" spans="1:16" x14ac:dyDescent="0.25">
      <c r="A22" s="19" t="s">
        <v>83</v>
      </c>
      <c r="B22" s="31">
        <f>+Calcs!B23</f>
        <v>0</v>
      </c>
      <c r="L22" s="17">
        <f>+L21-L26</f>
        <v>6.8000000000000025</v>
      </c>
      <c r="M22" s="17">
        <f>+M21-L27</f>
        <v>0.95000000000000107</v>
      </c>
    </row>
    <row r="23" spans="1:16" x14ac:dyDescent="0.25">
      <c r="A23" s="19" t="s">
        <v>81</v>
      </c>
      <c r="B23" s="31">
        <f>+Calcs!B24</f>
        <v>0</v>
      </c>
      <c r="L23" s="17">
        <f>2242.5%-L30</f>
        <v>7.4100000000000019</v>
      </c>
    </row>
    <row r="25" spans="1:16" ht="45" x14ac:dyDescent="0.25">
      <c r="A25" s="28" t="s">
        <v>45</v>
      </c>
      <c r="B25" s="18" t="s">
        <v>30</v>
      </c>
      <c r="C25" s="28" t="s">
        <v>97</v>
      </c>
      <c r="D25" s="18" t="s">
        <v>42</v>
      </c>
      <c r="E25" s="18" t="s">
        <v>75</v>
      </c>
      <c r="F25" s="18" t="s">
        <v>89</v>
      </c>
      <c r="G25" s="18" t="s">
        <v>85</v>
      </c>
      <c r="H25" s="18" t="s">
        <v>86</v>
      </c>
      <c r="I25" s="18" t="s">
        <v>87</v>
      </c>
      <c r="J25" s="18" t="s">
        <v>88</v>
      </c>
      <c r="K25" s="18" t="s">
        <v>41</v>
      </c>
      <c r="L25" s="18" t="s">
        <v>84</v>
      </c>
      <c r="M25" s="18" t="s">
        <v>91</v>
      </c>
      <c r="N25" s="18" t="s">
        <v>154</v>
      </c>
      <c r="O25" s="18" t="s">
        <v>157</v>
      </c>
    </row>
    <row r="26" spans="1:16" x14ac:dyDescent="0.25">
      <c r="A26" t="s">
        <v>47</v>
      </c>
      <c r="B26" s="4">
        <v>330600</v>
      </c>
      <c r="C26">
        <v>20</v>
      </c>
      <c r="D26" s="17">
        <f>+$B$15+10%</f>
        <v>14.764999999999999</v>
      </c>
      <c r="E26" s="17"/>
      <c r="F26" s="17">
        <f>+$B$18</f>
        <v>0</v>
      </c>
      <c r="G26" s="17">
        <f>+$B$20</f>
        <v>0</v>
      </c>
      <c r="H26" s="17"/>
      <c r="I26" s="17"/>
      <c r="J26" s="17"/>
      <c r="K26" s="17">
        <f>25%*($B$17="ON")</f>
        <v>0.25</v>
      </c>
      <c r="L26" s="39">
        <f t="shared" ref="L26:L57" si="0">SUM(D26:K26)</f>
        <v>15.014999999999999</v>
      </c>
      <c r="M26" s="4">
        <f t="shared" ref="M26:M57" si="1">+B26*L26</f>
        <v>4963959</v>
      </c>
      <c r="N26">
        <v>9</v>
      </c>
      <c r="P26">
        <f>+$P$29</f>
        <v>1</v>
      </c>
    </row>
    <row r="27" spans="1:16" x14ac:dyDescent="0.25">
      <c r="A27" t="s">
        <v>8</v>
      </c>
      <c r="B27" s="4">
        <v>33060</v>
      </c>
      <c r="C27">
        <v>2</v>
      </c>
      <c r="D27" s="17">
        <f t="shared" ref="D27:D57" si="2">+$B$15+10%</f>
        <v>14.764999999999999</v>
      </c>
      <c r="E27" s="17"/>
      <c r="F27" s="17">
        <f t="shared" ref="F27:F57" si="3">+$B$18</f>
        <v>0</v>
      </c>
      <c r="G27" s="17"/>
      <c r="H27" s="17">
        <f>+$B$21</f>
        <v>0</v>
      </c>
      <c r="I27" s="17"/>
      <c r="J27" s="17"/>
      <c r="K27" s="17">
        <f t="shared" ref="K27:K57" si="4">25%*($B$17="ON")</f>
        <v>0.25</v>
      </c>
      <c r="L27" s="39">
        <f t="shared" si="0"/>
        <v>15.014999999999999</v>
      </c>
      <c r="M27" s="4">
        <f t="shared" si="1"/>
        <v>496395.89999999997</v>
      </c>
      <c r="N27">
        <v>9</v>
      </c>
      <c r="P27">
        <f>+$P$29</f>
        <v>1</v>
      </c>
    </row>
    <row r="28" spans="1:16" x14ac:dyDescent="0.25">
      <c r="A28" t="s">
        <v>22</v>
      </c>
      <c r="B28" s="4">
        <v>16530</v>
      </c>
      <c r="C28">
        <v>1</v>
      </c>
      <c r="D28" s="17">
        <f t="shared" si="2"/>
        <v>14.764999999999999</v>
      </c>
      <c r="E28" s="17"/>
      <c r="F28" s="17">
        <f t="shared" si="3"/>
        <v>0</v>
      </c>
      <c r="G28" s="17"/>
      <c r="H28" s="17"/>
      <c r="I28" s="17">
        <f>+$B$22</f>
        <v>0</v>
      </c>
      <c r="J28" s="17"/>
      <c r="K28" s="17">
        <f t="shared" si="4"/>
        <v>0.25</v>
      </c>
      <c r="L28" s="39">
        <f t="shared" si="0"/>
        <v>15.014999999999999</v>
      </c>
      <c r="M28" s="4">
        <f t="shared" si="1"/>
        <v>248197.94999999998</v>
      </c>
      <c r="N28">
        <v>9</v>
      </c>
      <c r="P28">
        <f>+$P$29</f>
        <v>1</v>
      </c>
    </row>
    <row r="29" spans="1:16" x14ac:dyDescent="0.25">
      <c r="A29" t="s">
        <v>35</v>
      </c>
      <c r="B29" s="4">
        <v>16530</v>
      </c>
      <c r="C29">
        <v>1</v>
      </c>
      <c r="D29" s="17">
        <f t="shared" si="2"/>
        <v>14.764999999999999</v>
      </c>
      <c r="E29" s="17"/>
      <c r="F29" s="17">
        <f t="shared" si="3"/>
        <v>0</v>
      </c>
      <c r="G29" s="17"/>
      <c r="H29" s="17"/>
      <c r="I29" s="17"/>
      <c r="J29" s="17">
        <f>+$B$23</f>
        <v>0</v>
      </c>
      <c r="K29" s="17">
        <f t="shared" si="4"/>
        <v>0.25</v>
      </c>
      <c r="L29" s="39">
        <f t="shared" si="0"/>
        <v>15.014999999999999</v>
      </c>
      <c r="M29" s="4">
        <f t="shared" si="1"/>
        <v>248197.94999999998</v>
      </c>
      <c r="N29">
        <v>9</v>
      </c>
      <c r="P29">
        <v>1</v>
      </c>
    </row>
    <row r="30" spans="1:16" x14ac:dyDescent="0.25">
      <c r="A30" t="s">
        <v>48</v>
      </c>
      <c r="B30" s="4">
        <v>183600</v>
      </c>
      <c r="C30">
        <v>20</v>
      </c>
      <c r="D30" s="17">
        <f t="shared" si="2"/>
        <v>14.764999999999999</v>
      </c>
      <c r="E30" s="17"/>
      <c r="F30" s="17">
        <f t="shared" si="3"/>
        <v>0</v>
      </c>
      <c r="G30" s="17">
        <f>+$B$20</f>
        <v>0</v>
      </c>
      <c r="H30" s="17"/>
      <c r="I30" s="17"/>
      <c r="J30" s="17"/>
      <c r="K30" s="17">
        <f t="shared" si="4"/>
        <v>0.25</v>
      </c>
      <c r="L30" s="39">
        <f t="shared" si="0"/>
        <v>15.014999999999999</v>
      </c>
      <c r="M30" s="4">
        <f t="shared" si="1"/>
        <v>2756754</v>
      </c>
      <c r="N30">
        <f>+N26-1</f>
        <v>8</v>
      </c>
      <c r="P30" s="5">
        <f>+$P$33</f>
        <v>0.55535390199637025</v>
      </c>
    </row>
    <row r="31" spans="1:16" x14ac:dyDescent="0.25">
      <c r="A31" t="s">
        <v>10</v>
      </c>
      <c r="B31" s="4">
        <v>18360</v>
      </c>
      <c r="C31">
        <v>2</v>
      </c>
      <c r="D31" s="17">
        <f t="shared" si="2"/>
        <v>14.764999999999999</v>
      </c>
      <c r="E31" s="17"/>
      <c r="F31" s="17">
        <f t="shared" si="3"/>
        <v>0</v>
      </c>
      <c r="G31" s="17"/>
      <c r="H31" s="17">
        <f>+$B$21</f>
        <v>0</v>
      </c>
      <c r="I31" s="17"/>
      <c r="J31" s="17"/>
      <c r="K31" s="17">
        <f t="shared" si="4"/>
        <v>0.25</v>
      </c>
      <c r="L31" s="39">
        <f t="shared" si="0"/>
        <v>15.014999999999999</v>
      </c>
      <c r="M31" s="4">
        <f t="shared" si="1"/>
        <v>275675.39999999997</v>
      </c>
      <c r="N31">
        <f t="shared" ref="N31:N48" si="5">+N27-1</f>
        <v>8</v>
      </c>
      <c r="P31" s="5">
        <f t="shared" ref="P31:P32" si="6">+$P$33</f>
        <v>0.55535390199637025</v>
      </c>
    </row>
    <row r="32" spans="1:16" x14ac:dyDescent="0.25">
      <c r="A32" t="s">
        <v>24</v>
      </c>
      <c r="B32" s="4">
        <v>9180</v>
      </c>
      <c r="C32">
        <v>1</v>
      </c>
      <c r="D32" s="17">
        <f t="shared" si="2"/>
        <v>14.764999999999999</v>
      </c>
      <c r="E32" s="17"/>
      <c r="F32" s="17">
        <f t="shared" si="3"/>
        <v>0</v>
      </c>
      <c r="G32" s="17"/>
      <c r="H32" s="17"/>
      <c r="I32" s="17">
        <f>+$B$22</f>
        <v>0</v>
      </c>
      <c r="J32" s="17"/>
      <c r="K32" s="17">
        <f t="shared" si="4"/>
        <v>0.25</v>
      </c>
      <c r="L32" s="39">
        <f t="shared" si="0"/>
        <v>15.014999999999999</v>
      </c>
      <c r="M32" s="4">
        <f t="shared" si="1"/>
        <v>137837.69999999998</v>
      </c>
      <c r="N32">
        <f t="shared" si="5"/>
        <v>8</v>
      </c>
      <c r="P32" s="5">
        <f t="shared" si="6"/>
        <v>0.55535390199637025</v>
      </c>
    </row>
    <row r="33" spans="1:16" x14ac:dyDescent="0.25">
      <c r="A33" t="s">
        <v>12</v>
      </c>
      <c r="B33" s="4">
        <v>9180</v>
      </c>
      <c r="C33">
        <v>1</v>
      </c>
      <c r="D33" s="17">
        <f t="shared" si="2"/>
        <v>14.764999999999999</v>
      </c>
      <c r="E33" s="17"/>
      <c r="F33" s="17">
        <f t="shared" si="3"/>
        <v>0</v>
      </c>
      <c r="G33" s="17"/>
      <c r="H33" s="17"/>
      <c r="I33" s="17"/>
      <c r="J33" s="17">
        <f>+$B$23</f>
        <v>0</v>
      </c>
      <c r="K33" s="17">
        <f t="shared" si="4"/>
        <v>0.25</v>
      </c>
      <c r="L33" s="39">
        <f t="shared" si="0"/>
        <v>15.014999999999999</v>
      </c>
      <c r="M33" s="4">
        <f t="shared" si="1"/>
        <v>137837.69999999998</v>
      </c>
      <c r="N33">
        <f t="shared" si="5"/>
        <v>8</v>
      </c>
      <c r="P33" s="5">
        <f>+B33/$B$29</f>
        <v>0.55535390199637025</v>
      </c>
    </row>
    <row r="34" spans="1:16" x14ac:dyDescent="0.25">
      <c r="A34" t="s">
        <v>49</v>
      </c>
      <c r="B34" s="4">
        <v>102000</v>
      </c>
      <c r="C34">
        <v>20</v>
      </c>
      <c r="D34" s="17">
        <f t="shared" si="2"/>
        <v>14.764999999999999</v>
      </c>
      <c r="E34" s="17">
        <f>+$B$16</f>
        <v>1</v>
      </c>
      <c r="F34" s="17">
        <f t="shared" si="3"/>
        <v>0</v>
      </c>
      <c r="G34" s="17">
        <f>+$B$20</f>
        <v>0</v>
      </c>
      <c r="H34" s="17"/>
      <c r="I34" s="17"/>
      <c r="J34" s="17"/>
      <c r="K34" s="17">
        <f t="shared" si="4"/>
        <v>0.25</v>
      </c>
      <c r="L34" s="39">
        <f t="shared" si="0"/>
        <v>16.015000000000001</v>
      </c>
      <c r="M34" s="4">
        <f t="shared" si="1"/>
        <v>1633530</v>
      </c>
      <c r="N34">
        <f>+N30-1</f>
        <v>7</v>
      </c>
      <c r="P34" s="5">
        <f>+$P$37</f>
        <v>0.30852994555353902</v>
      </c>
    </row>
    <row r="35" spans="1:16" x14ac:dyDescent="0.25">
      <c r="A35" t="s">
        <v>50</v>
      </c>
      <c r="B35" s="4">
        <v>10200</v>
      </c>
      <c r="C35">
        <v>2</v>
      </c>
      <c r="D35" s="17">
        <f t="shared" si="2"/>
        <v>14.764999999999999</v>
      </c>
      <c r="E35" s="17"/>
      <c r="F35" s="17">
        <f t="shared" si="3"/>
        <v>0</v>
      </c>
      <c r="G35" s="17"/>
      <c r="H35" s="17">
        <f>+$B$21</f>
        <v>0</v>
      </c>
      <c r="I35" s="17"/>
      <c r="J35" s="17"/>
      <c r="K35" s="17">
        <f t="shared" si="4"/>
        <v>0.25</v>
      </c>
      <c r="L35" s="39">
        <f t="shared" si="0"/>
        <v>15.014999999999999</v>
      </c>
      <c r="M35" s="4">
        <f t="shared" si="1"/>
        <v>153153</v>
      </c>
      <c r="N35">
        <f t="shared" si="5"/>
        <v>7</v>
      </c>
      <c r="P35" s="5">
        <f t="shared" ref="P35:P36" si="7">+$P$37</f>
        <v>0.30852994555353902</v>
      </c>
    </row>
    <row r="36" spans="1:16" x14ac:dyDescent="0.25">
      <c r="A36" t="s">
        <v>51</v>
      </c>
      <c r="B36" s="4">
        <v>5100</v>
      </c>
      <c r="C36">
        <v>1</v>
      </c>
      <c r="D36" s="17">
        <f t="shared" si="2"/>
        <v>14.764999999999999</v>
      </c>
      <c r="E36" s="17"/>
      <c r="F36" s="17">
        <f t="shared" si="3"/>
        <v>0</v>
      </c>
      <c r="G36" s="17"/>
      <c r="H36" s="17"/>
      <c r="I36" s="17">
        <f>+$B$22</f>
        <v>0</v>
      </c>
      <c r="J36" s="17"/>
      <c r="K36" s="17">
        <f t="shared" si="4"/>
        <v>0.25</v>
      </c>
      <c r="L36" s="39">
        <f t="shared" si="0"/>
        <v>15.014999999999999</v>
      </c>
      <c r="M36" s="4">
        <f t="shared" si="1"/>
        <v>76576.5</v>
      </c>
      <c r="N36">
        <f t="shared" si="5"/>
        <v>7</v>
      </c>
      <c r="P36" s="5">
        <f t="shared" si="7"/>
        <v>0.30852994555353902</v>
      </c>
    </row>
    <row r="37" spans="1:16" x14ac:dyDescent="0.25">
      <c r="A37" t="s">
        <v>52</v>
      </c>
      <c r="B37" s="4">
        <v>5100</v>
      </c>
      <c r="C37">
        <v>1</v>
      </c>
      <c r="D37" s="17">
        <f t="shared" si="2"/>
        <v>14.764999999999999</v>
      </c>
      <c r="E37" s="17"/>
      <c r="F37" s="17">
        <f t="shared" si="3"/>
        <v>0</v>
      </c>
      <c r="G37" s="17"/>
      <c r="H37" s="17"/>
      <c r="I37" s="17"/>
      <c r="J37" s="17">
        <f>+$B$23</f>
        <v>0</v>
      </c>
      <c r="K37" s="17">
        <f t="shared" si="4"/>
        <v>0.25</v>
      </c>
      <c r="L37" s="39">
        <f t="shared" si="0"/>
        <v>15.014999999999999</v>
      </c>
      <c r="M37" s="4">
        <f t="shared" si="1"/>
        <v>76576.5</v>
      </c>
      <c r="N37">
        <f t="shared" si="5"/>
        <v>7</v>
      </c>
      <c r="P37" s="5">
        <f>+B37/$B$29</f>
        <v>0.30852994555353902</v>
      </c>
    </row>
    <row r="38" spans="1:16" x14ac:dyDescent="0.25">
      <c r="A38" t="s">
        <v>53</v>
      </c>
      <c r="B38" s="4">
        <v>57000</v>
      </c>
      <c r="C38">
        <v>20</v>
      </c>
      <c r="D38" s="17">
        <f t="shared" si="2"/>
        <v>14.764999999999999</v>
      </c>
      <c r="E38" s="17">
        <f>+$B$16</f>
        <v>1</v>
      </c>
      <c r="F38" s="17">
        <f t="shared" si="3"/>
        <v>0</v>
      </c>
      <c r="G38" s="17">
        <f>+$B$20</f>
        <v>0</v>
      </c>
      <c r="H38" s="17"/>
      <c r="I38" s="17"/>
      <c r="J38" s="17"/>
      <c r="K38" s="17">
        <f t="shared" si="4"/>
        <v>0.25</v>
      </c>
      <c r="L38" s="39">
        <f t="shared" si="0"/>
        <v>16.015000000000001</v>
      </c>
      <c r="M38" s="4">
        <f t="shared" si="1"/>
        <v>912855</v>
      </c>
      <c r="N38">
        <f>+N34-1</f>
        <v>6</v>
      </c>
      <c r="P38" s="5">
        <f>+$P$41</f>
        <v>0.1705989110707804</v>
      </c>
    </row>
    <row r="39" spans="1:16" x14ac:dyDescent="0.25">
      <c r="A39" t="s">
        <v>54</v>
      </c>
      <c r="B39" s="4">
        <v>5700</v>
      </c>
      <c r="C39">
        <v>2</v>
      </c>
      <c r="D39" s="17">
        <f t="shared" si="2"/>
        <v>14.764999999999999</v>
      </c>
      <c r="E39" s="17"/>
      <c r="F39" s="17">
        <f t="shared" si="3"/>
        <v>0</v>
      </c>
      <c r="G39" s="17"/>
      <c r="H39" s="17">
        <f>+$B$21</f>
        <v>0</v>
      </c>
      <c r="I39" s="17"/>
      <c r="J39" s="17"/>
      <c r="K39" s="17">
        <f t="shared" si="4"/>
        <v>0.25</v>
      </c>
      <c r="L39" s="39">
        <f t="shared" si="0"/>
        <v>15.014999999999999</v>
      </c>
      <c r="M39" s="4">
        <f t="shared" si="1"/>
        <v>85585.5</v>
      </c>
      <c r="N39">
        <f t="shared" si="5"/>
        <v>6</v>
      </c>
      <c r="P39" s="5">
        <f t="shared" ref="P39:P40" si="8">+$P$41</f>
        <v>0.1705989110707804</v>
      </c>
    </row>
    <row r="40" spans="1:16" x14ac:dyDescent="0.25">
      <c r="A40" t="s">
        <v>55</v>
      </c>
      <c r="B40" s="4">
        <v>2820</v>
      </c>
      <c r="C40">
        <v>1</v>
      </c>
      <c r="D40" s="17">
        <f t="shared" si="2"/>
        <v>14.764999999999999</v>
      </c>
      <c r="E40" s="17"/>
      <c r="F40" s="17">
        <f t="shared" si="3"/>
        <v>0</v>
      </c>
      <c r="G40" s="17"/>
      <c r="H40" s="17"/>
      <c r="I40" s="17">
        <f>+$B$22</f>
        <v>0</v>
      </c>
      <c r="J40" s="17"/>
      <c r="K40" s="17">
        <f t="shared" si="4"/>
        <v>0.25</v>
      </c>
      <c r="L40" s="39">
        <f t="shared" si="0"/>
        <v>15.014999999999999</v>
      </c>
      <c r="M40" s="4">
        <f t="shared" si="1"/>
        <v>42342.299999999996</v>
      </c>
      <c r="N40">
        <f t="shared" si="5"/>
        <v>6</v>
      </c>
      <c r="P40" s="5">
        <f t="shared" si="8"/>
        <v>0.1705989110707804</v>
      </c>
    </row>
    <row r="41" spans="1:16" x14ac:dyDescent="0.25">
      <c r="A41" t="s">
        <v>56</v>
      </c>
      <c r="B41" s="4">
        <v>2820</v>
      </c>
      <c r="C41">
        <v>1</v>
      </c>
      <c r="D41" s="17">
        <f t="shared" si="2"/>
        <v>14.764999999999999</v>
      </c>
      <c r="E41" s="17"/>
      <c r="F41" s="17">
        <f t="shared" si="3"/>
        <v>0</v>
      </c>
      <c r="G41" s="17"/>
      <c r="H41" s="17"/>
      <c r="I41" s="17"/>
      <c r="J41" s="17">
        <f>+$B$23</f>
        <v>0</v>
      </c>
      <c r="K41" s="17">
        <f t="shared" si="4"/>
        <v>0.25</v>
      </c>
      <c r="L41" s="39">
        <f t="shared" si="0"/>
        <v>15.014999999999999</v>
      </c>
      <c r="M41" s="4">
        <f t="shared" si="1"/>
        <v>42342.299999999996</v>
      </c>
      <c r="N41">
        <f t="shared" si="5"/>
        <v>6</v>
      </c>
      <c r="P41" s="5">
        <f>+B41/$B$29</f>
        <v>0.1705989110707804</v>
      </c>
    </row>
    <row r="42" spans="1:16" x14ac:dyDescent="0.25">
      <c r="A42" t="s">
        <v>57</v>
      </c>
      <c r="B42" s="4">
        <v>30000</v>
      </c>
      <c r="C42">
        <v>20</v>
      </c>
      <c r="D42" s="17">
        <f t="shared" si="2"/>
        <v>14.764999999999999</v>
      </c>
      <c r="E42" s="17">
        <f>+$B$16</f>
        <v>1</v>
      </c>
      <c r="F42" s="17">
        <f t="shared" si="3"/>
        <v>0</v>
      </c>
      <c r="G42" s="17">
        <f>+$B$20</f>
        <v>0</v>
      </c>
      <c r="H42" s="17"/>
      <c r="I42" s="17"/>
      <c r="J42" s="17"/>
      <c r="K42" s="17">
        <f t="shared" si="4"/>
        <v>0.25</v>
      </c>
      <c r="L42" s="39">
        <f t="shared" si="0"/>
        <v>16.015000000000001</v>
      </c>
      <c r="M42" s="4">
        <f t="shared" si="1"/>
        <v>480450</v>
      </c>
      <c r="N42">
        <f>+N38-1</f>
        <v>5</v>
      </c>
      <c r="O42">
        <v>1</v>
      </c>
      <c r="P42" s="5">
        <f>+$P$45</f>
        <v>9.4373865698729589E-2</v>
      </c>
    </row>
    <row r="43" spans="1:16" x14ac:dyDescent="0.25">
      <c r="A43" t="s">
        <v>58</v>
      </c>
      <c r="B43" s="4">
        <v>3150</v>
      </c>
      <c r="C43">
        <v>2</v>
      </c>
      <c r="D43" s="17">
        <f t="shared" si="2"/>
        <v>14.764999999999999</v>
      </c>
      <c r="E43" s="17"/>
      <c r="F43" s="17">
        <f t="shared" si="3"/>
        <v>0</v>
      </c>
      <c r="G43" s="17"/>
      <c r="H43" s="17">
        <f>+$B$21</f>
        <v>0</v>
      </c>
      <c r="I43" s="17"/>
      <c r="J43" s="17"/>
      <c r="K43" s="17">
        <f t="shared" si="4"/>
        <v>0.25</v>
      </c>
      <c r="L43" s="39">
        <f t="shared" si="0"/>
        <v>15.014999999999999</v>
      </c>
      <c r="M43" s="4">
        <f t="shared" si="1"/>
        <v>47297.249999999993</v>
      </c>
      <c r="N43">
        <f t="shared" si="5"/>
        <v>5</v>
      </c>
      <c r="P43" s="5">
        <f>+$P$45</f>
        <v>9.4373865698729589E-2</v>
      </c>
    </row>
    <row r="44" spans="1:16" x14ac:dyDescent="0.25">
      <c r="A44" t="s">
        <v>59</v>
      </c>
      <c r="B44" s="4">
        <v>1560</v>
      </c>
      <c r="C44">
        <v>1</v>
      </c>
      <c r="D44" s="17">
        <f t="shared" si="2"/>
        <v>14.764999999999999</v>
      </c>
      <c r="E44" s="17"/>
      <c r="F44" s="17">
        <f t="shared" si="3"/>
        <v>0</v>
      </c>
      <c r="G44" s="17"/>
      <c r="H44" s="17"/>
      <c r="I44" s="17">
        <f>+$B$22</f>
        <v>0</v>
      </c>
      <c r="J44" s="17"/>
      <c r="K44" s="17">
        <f t="shared" si="4"/>
        <v>0.25</v>
      </c>
      <c r="L44" s="39">
        <f t="shared" si="0"/>
        <v>15.014999999999999</v>
      </c>
      <c r="M44" s="4">
        <f t="shared" si="1"/>
        <v>23423.399999999998</v>
      </c>
      <c r="N44">
        <f t="shared" si="5"/>
        <v>5</v>
      </c>
      <c r="P44" s="5">
        <f>+$P$45</f>
        <v>9.4373865698729589E-2</v>
      </c>
    </row>
    <row r="45" spans="1:16" x14ac:dyDescent="0.25">
      <c r="A45" t="s">
        <v>60</v>
      </c>
      <c r="B45" s="4">
        <v>1560</v>
      </c>
      <c r="C45">
        <v>1</v>
      </c>
      <c r="D45" s="17">
        <f t="shared" si="2"/>
        <v>14.764999999999999</v>
      </c>
      <c r="E45" s="17"/>
      <c r="F45" s="17">
        <f t="shared" si="3"/>
        <v>0</v>
      </c>
      <c r="G45" s="17"/>
      <c r="H45" s="17"/>
      <c r="I45" s="17"/>
      <c r="J45" s="17">
        <f>+$B$23</f>
        <v>0</v>
      </c>
      <c r="K45" s="17">
        <f t="shared" si="4"/>
        <v>0.25</v>
      </c>
      <c r="L45" s="39">
        <f t="shared" si="0"/>
        <v>15.014999999999999</v>
      </c>
      <c r="M45" s="4">
        <f t="shared" si="1"/>
        <v>23423.399999999998</v>
      </c>
      <c r="N45">
        <f t="shared" si="5"/>
        <v>5</v>
      </c>
      <c r="P45" s="5">
        <f>+B45/$B$29</f>
        <v>9.4373865698729589E-2</v>
      </c>
    </row>
    <row r="46" spans="1:16" x14ac:dyDescent="0.25">
      <c r="A46" t="s">
        <v>109</v>
      </c>
      <c r="B46" s="4">
        <v>1740</v>
      </c>
      <c r="C46">
        <v>1</v>
      </c>
      <c r="D46" s="17">
        <f t="shared" si="2"/>
        <v>14.764999999999999</v>
      </c>
      <c r="E46" s="17"/>
      <c r="F46" s="17">
        <f t="shared" si="3"/>
        <v>0</v>
      </c>
      <c r="G46" s="17"/>
      <c r="H46" s="17">
        <f>+$B$21</f>
        <v>0</v>
      </c>
      <c r="I46" s="17"/>
      <c r="J46" s="17"/>
      <c r="K46" s="17">
        <f t="shared" si="4"/>
        <v>0.25</v>
      </c>
      <c r="L46" s="39">
        <f t="shared" si="0"/>
        <v>15.014999999999999</v>
      </c>
      <c r="M46" s="4">
        <f t="shared" si="1"/>
        <v>26126.1</v>
      </c>
      <c r="N46">
        <f>+N42-1</f>
        <v>4</v>
      </c>
      <c r="P46" s="5">
        <f>+$P$48</f>
        <v>5.2631578947368418E-2</v>
      </c>
    </row>
    <row r="47" spans="1:16" x14ac:dyDescent="0.25">
      <c r="A47" t="s">
        <v>110</v>
      </c>
      <c r="B47" s="4">
        <v>870</v>
      </c>
      <c r="C47">
        <v>1</v>
      </c>
      <c r="D47" s="17">
        <f t="shared" si="2"/>
        <v>14.764999999999999</v>
      </c>
      <c r="E47" s="17"/>
      <c r="F47" s="17">
        <f t="shared" si="3"/>
        <v>0</v>
      </c>
      <c r="G47" s="17"/>
      <c r="H47" s="17"/>
      <c r="I47" s="17">
        <f>+$B$22</f>
        <v>0</v>
      </c>
      <c r="J47" s="17"/>
      <c r="K47" s="17">
        <f t="shared" si="4"/>
        <v>0.25</v>
      </c>
      <c r="L47" s="39">
        <f t="shared" si="0"/>
        <v>15.014999999999999</v>
      </c>
      <c r="M47" s="4">
        <f t="shared" si="1"/>
        <v>13063.05</v>
      </c>
      <c r="N47">
        <f t="shared" si="5"/>
        <v>4</v>
      </c>
      <c r="P47" s="5">
        <f>+$P$48</f>
        <v>5.2631578947368418E-2</v>
      </c>
    </row>
    <row r="48" spans="1:16" x14ac:dyDescent="0.25">
      <c r="A48" t="s">
        <v>111</v>
      </c>
      <c r="B48" s="4">
        <v>870</v>
      </c>
      <c r="C48">
        <v>1</v>
      </c>
      <c r="D48" s="17">
        <f t="shared" si="2"/>
        <v>14.764999999999999</v>
      </c>
      <c r="E48" s="17"/>
      <c r="F48" s="17">
        <f t="shared" si="3"/>
        <v>0</v>
      </c>
      <c r="G48" s="17"/>
      <c r="H48" s="17"/>
      <c r="I48" s="17"/>
      <c r="J48" s="17">
        <f>+$B$23</f>
        <v>0</v>
      </c>
      <c r="K48" s="17">
        <f t="shared" si="4"/>
        <v>0.25</v>
      </c>
      <c r="L48" s="39">
        <f t="shared" si="0"/>
        <v>15.014999999999999</v>
      </c>
      <c r="M48" s="4">
        <f t="shared" si="1"/>
        <v>13063.05</v>
      </c>
      <c r="N48">
        <f t="shared" si="5"/>
        <v>4</v>
      </c>
      <c r="P48" s="5">
        <f>+B48/$B$29</f>
        <v>5.2631578947368418E-2</v>
      </c>
    </row>
    <row r="49" spans="1:16" x14ac:dyDescent="0.25">
      <c r="A49" t="s">
        <v>112</v>
      </c>
      <c r="B49" s="4">
        <v>960</v>
      </c>
      <c r="C49">
        <v>1</v>
      </c>
      <c r="D49" s="17">
        <f t="shared" si="2"/>
        <v>14.764999999999999</v>
      </c>
      <c r="E49" s="17"/>
      <c r="F49" s="17">
        <f t="shared" si="3"/>
        <v>0</v>
      </c>
      <c r="G49" s="17"/>
      <c r="H49" s="17">
        <f>+$B$21</f>
        <v>0</v>
      </c>
      <c r="I49" s="17"/>
      <c r="J49" s="17"/>
      <c r="K49" s="17">
        <f t="shared" si="4"/>
        <v>0.25</v>
      </c>
      <c r="L49" s="39">
        <f t="shared" si="0"/>
        <v>15.014999999999999</v>
      </c>
      <c r="M49" s="4">
        <f t="shared" si="1"/>
        <v>14414.4</v>
      </c>
      <c r="N49">
        <v>3</v>
      </c>
      <c r="P49" s="5">
        <f>+$P$51</f>
        <v>2.9038112522686024E-2</v>
      </c>
    </row>
    <row r="50" spans="1:16" x14ac:dyDescent="0.25">
      <c r="A50" t="s">
        <v>113</v>
      </c>
      <c r="B50" s="4">
        <v>480</v>
      </c>
      <c r="C50">
        <v>1</v>
      </c>
      <c r="D50" s="17">
        <f t="shared" si="2"/>
        <v>14.764999999999999</v>
      </c>
      <c r="E50" s="17"/>
      <c r="F50" s="17">
        <f t="shared" si="3"/>
        <v>0</v>
      </c>
      <c r="G50" s="17"/>
      <c r="H50" s="17"/>
      <c r="I50" s="17">
        <f>+$B$22</f>
        <v>0</v>
      </c>
      <c r="J50" s="17"/>
      <c r="K50" s="17">
        <f t="shared" si="4"/>
        <v>0.25</v>
      </c>
      <c r="L50" s="39">
        <f t="shared" si="0"/>
        <v>15.014999999999999</v>
      </c>
      <c r="M50" s="4">
        <f t="shared" si="1"/>
        <v>7207.2</v>
      </c>
      <c r="N50">
        <v>3</v>
      </c>
      <c r="P50" s="5">
        <f>+$P$51</f>
        <v>2.9038112522686024E-2</v>
      </c>
    </row>
    <row r="51" spans="1:16" x14ac:dyDescent="0.25">
      <c r="A51" t="s">
        <v>114</v>
      </c>
      <c r="B51" s="4">
        <v>480</v>
      </c>
      <c r="C51">
        <v>1</v>
      </c>
      <c r="D51" s="17">
        <f t="shared" si="2"/>
        <v>14.764999999999999</v>
      </c>
      <c r="E51" s="17"/>
      <c r="F51" s="17">
        <f t="shared" si="3"/>
        <v>0</v>
      </c>
      <c r="G51" s="17"/>
      <c r="H51" s="17"/>
      <c r="I51" s="17"/>
      <c r="J51" s="17">
        <f>+$B$23</f>
        <v>0</v>
      </c>
      <c r="K51" s="17">
        <f t="shared" si="4"/>
        <v>0.25</v>
      </c>
      <c r="L51" s="39">
        <f t="shared" si="0"/>
        <v>15.014999999999999</v>
      </c>
      <c r="M51" s="4">
        <f t="shared" si="1"/>
        <v>7207.2</v>
      </c>
      <c r="N51">
        <v>3</v>
      </c>
      <c r="P51" s="5">
        <f>+B51/$B$29</f>
        <v>2.9038112522686024E-2</v>
      </c>
    </row>
    <row r="52" spans="1:16" x14ac:dyDescent="0.25">
      <c r="A52" t="s">
        <v>115</v>
      </c>
      <c r="B52" s="4">
        <v>540</v>
      </c>
      <c r="C52">
        <v>1</v>
      </c>
      <c r="D52" s="17">
        <f t="shared" si="2"/>
        <v>14.764999999999999</v>
      </c>
      <c r="E52" s="17"/>
      <c r="F52" s="17">
        <f t="shared" si="3"/>
        <v>0</v>
      </c>
      <c r="G52" s="17"/>
      <c r="H52" s="17">
        <f>+$B$21</f>
        <v>0</v>
      </c>
      <c r="I52" s="17"/>
      <c r="J52" s="17"/>
      <c r="K52" s="17">
        <f t="shared" si="4"/>
        <v>0.25</v>
      </c>
      <c r="L52" s="39">
        <f t="shared" si="0"/>
        <v>15.014999999999999</v>
      </c>
      <c r="M52" s="4">
        <f t="shared" si="1"/>
        <v>8108.0999999999995</v>
      </c>
      <c r="N52">
        <v>2</v>
      </c>
      <c r="P52" s="5">
        <f>+$P$54</f>
        <v>1.6333938294010888E-2</v>
      </c>
    </row>
    <row r="53" spans="1:16" x14ac:dyDescent="0.25">
      <c r="A53" t="s">
        <v>116</v>
      </c>
      <c r="B53" s="4">
        <v>270</v>
      </c>
      <c r="C53">
        <v>1</v>
      </c>
      <c r="D53" s="17">
        <f t="shared" si="2"/>
        <v>14.764999999999999</v>
      </c>
      <c r="E53" s="17"/>
      <c r="F53" s="17">
        <f t="shared" si="3"/>
        <v>0</v>
      </c>
      <c r="G53" s="17"/>
      <c r="H53" s="17"/>
      <c r="I53" s="17">
        <f>+$B$22</f>
        <v>0</v>
      </c>
      <c r="J53" s="17"/>
      <c r="K53" s="17">
        <f t="shared" si="4"/>
        <v>0.25</v>
      </c>
      <c r="L53" s="39">
        <f t="shared" si="0"/>
        <v>15.014999999999999</v>
      </c>
      <c r="M53" s="4">
        <f t="shared" si="1"/>
        <v>4054.0499999999997</v>
      </c>
      <c r="N53">
        <v>2</v>
      </c>
      <c r="P53" s="5">
        <f>+$P$54</f>
        <v>1.6333938294010888E-2</v>
      </c>
    </row>
    <row r="54" spans="1:16" x14ac:dyDescent="0.25">
      <c r="A54" t="s">
        <v>117</v>
      </c>
      <c r="B54" s="4">
        <v>270</v>
      </c>
      <c r="C54">
        <v>1</v>
      </c>
      <c r="D54" s="17">
        <f t="shared" si="2"/>
        <v>14.764999999999999</v>
      </c>
      <c r="E54" s="17"/>
      <c r="F54" s="17">
        <f t="shared" si="3"/>
        <v>0</v>
      </c>
      <c r="G54" s="17"/>
      <c r="H54" s="17"/>
      <c r="I54" s="17"/>
      <c r="J54" s="17">
        <f>+$B$23</f>
        <v>0</v>
      </c>
      <c r="K54" s="17">
        <f t="shared" si="4"/>
        <v>0.25</v>
      </c>
      <c r="L54" s="39">
        <f t="shared" si="0"/>
        <v>15.014999999999999</v>
      </c>
      <c r="M54" s="4">
        <f t="shared" si="1"/>
        <v>4054.0499999999997</v>
      </c>
      <c r="N54">
        <v>2</v>
      </c>
      <c r="P54" s="5">
        <f>+B54/$B$29</f>
        <v>1.6333938294010888E-2</v>
      </c>
    </row>
    <row r="55" spans="1:16" x14ac:dyDescent="0.25">
      <c r="A55" t="s">
        <v>118</v>
      </c>
      <c r="B55" s="4">
        <v>300</v>
      </c>
      <c r="C55">
        <v>1</v>
      </c>
      <c r="D55" s="17">
        <f t="shared" si="2"/>
        <v>14.764999999999999</v>
      </c>
      <c r="E55" s="17"/>
      <c r="F55" s="17">
        <f t="shared" si="3"/>
        <v>0</v>
      </c>
      <c r="G55" s="17"/>
      <c r="H55" s="17">
        <f>+$B$21</f>
        <v>0</v>
      </c>
      <c r="I55" s="17"/>
      <c r="J55" s="17"/>
      <c r="K55" s="17">
        <f t="shared" si="4"/>
        <v>0.25</v>
      </c>
      <c r="L55" s="39">
        <f t="shared" si="0"/>
        <v>15.014999999999999</v>
      </c>
      <c r="M55" s="4">
        <f t="shared" si="1"/>
        <v>4504.5</v>
      </c>
      <c r="N55">
        <v>1</v>
      </c>
      <c r="P55" s="5">
        <f>+$P$57</f>
        <v>9.0744101633393835E-3</v>
      </c>
    </row>
    <row r="56" spans="1:16" x14ac:dyDescent="0.25">
      <c r="A56" t="s">
        <v>119</v>
      </c>
      <c r="B56" s="4">
        <v>150</v>
      </c>
      <c r="C56">
        <v>1</v>
      </c>
      <c r="D56" s="17">
        <f t="shared" si="2"/>
        <v>14.764999999999999</v>
      </c>
      <c r="E56" s="17"/>
      <c r="F56" s="17">
        <f t="shared" si="3"/>
        <v>0</v>
      </c>
      <c r="G56" s="17"/>
      <c r="H56" s="17"/>
      <c r="I56" s="17">
        <f>+$B$22</f>
        <v>0</v>
      </c>
      <c r="J56" s="17"/>
      <c r="K56" s="17">
        <f t="shared" si="4"/>
        <v>0.25</v>
      </c>
      <c r="L56" s="39">
        <f t="shared" si="0"/>
        <v>15.014999999999999</v>
      </c>
      <c r="M56" s="4">
        <f t="shared" si="1"/>
        <v>2252.25</v>
      </c>
      <c r="N56">
        <v>1</v>
      </c>
      <c r="P56" s="5">
        <f>+$P$57</f>
        <v>9.0744101633393835E-3</v>
      </c>
    </row>
    <row r="57" spans="1:16" x14ac:dyDescent="0.25">
      <c r="A57" t="s">
        <v>120</v>
      </c>
      <c r="B57" s="4">
        <v>150</v>
      </c>
      <c r="C57">
        <v>1</v>
      </c>
      <c r="D57" s="17">
        <f t="shared" si="2"/>
        <v>14.764999999999999</v>
      </c>
      <c r="E57" s="17"/>
      <c r="F57" s="17">
        <f t="shared" si="3"/>
        <v>0</v>
      </c>
      <c r="G57" s="17"/>
      <c r="H57" s="17"/>
      <c r="I57" s="17"/>
      <c r="J57" s="17">
        <f>+$B$23</f>
        <v>0</v>
      </c>
      <c r="K57" s="17">
        <f t="shared" si="4"/>
        <v>0.25</v>
      </c>
      <c r="L57" s="39">
        <f t="shared" si="0"/>
        <v>15.014999999999999</v>
      </c>
      <c r="M57" s="4">
        <f t="shared" si="1"/>
        <v>2252.25</v>
      </c>
      <c r="N57">
        <v>1</v>
      </c>
      <c r="P57" s="5">
        <f>+B57/$B$29</f>
        <v>9.0744101633393835E-3</v>
      </c>
    </row>
    <row r="59" spans="1:16" ht="45" x14ac:dyDescent="0.25">
      <c r="A59" s="25" t="s">
        <v>46</v>
      </c>
      <c r="B59" s="18" t="str">
        <f>+B25</f>
        <v>Base Health</v>
      </c>
      <c r="C59" s="28" t="s">
        <v>97</v>
      </c>
      <c r="D59" s="18" t="s">
        <v>42</v>
      </c>
      <c r="E59" s="18" t="s">
        <v>75</v>
      </c>
      <c r="F59" s="18" t="s">
        <v>152</v>
      </c>
      <c r="G59" s="18" t="s">
        <v>85</v>
      </c>
      <c r="H59" s="18" t="s">
        <v>86</v>
      </c>
      <c r="I59" s="18" t="s">
        <v>87</v>
      </c>
      <c r="J59" s="18" t="s">
        <v>88</v>
      </c>
      <c r="K59" s="18" t="s">
        <v>41</v>
      </c>
      <c r="L59" s="18" t="s">
        <v>84</v>
      </c>
      <c r="M59" s="18" t="s">
        <v>91</v>
      </c>
      <c r="N59" s="18" t="s">
        <v>154</v>
      </c>
      <c r="O59" s="18" t="s">
        <v>157</v>
      </c>
    </row>
    <row r="60" spans="1:16" x14ac:dyDescent="0.25">
      <c r="A60" s="22" t="s">
        <v>61</v>
      </c>
      <c r="B60" s="4">
        <v>330600</v>
      </c>
      <c r="C60">
        <v>20</v>
      </c>
      <c r="D60" s="17">
        <f t="shared" ref="D60:D83" si="9">+$B$15+10%</f>
        <v>14.764999999999999</v>
      </c>
      <c r="E60" s="17">
        <f>+$B$16</f>
        <v>1</v>
      </c>
      <c r="F60" s="17">
        <f>+$B$19</f>
        <v>0</v>
      </c>
      <c r="G60" s="17">
        <f>+$B$20</f>
        <v>0</v>
      </c>
      <c r="H60" s="17"/>
      <c r="I60" s="17"/>
      <c r="J60" s="17"/>
      <c r="K60" s="17">
        <f>25%*($B$17="ON")</f>
        <v>0.25</v>
      </c>
      <c r="L60" s="39">
        <f t="shared" ref="L60:L83" si="10">SUM(D60:K60)</f>
        <v>16.015000000000001</v>
      </c>
      <c r="M60" s="4">
        <f t="shared" ref="M60:M83" si="11">+B60*L60</f>
        <v>5294559</v>
      </c>
      <c r="N60">
        <v>9</v>
      </c>
      <c r="O60" s="9"/>
    </row>
    <row r="61" spans="1:16" x14ac:dyDescent="0.25">
      <c r="A61" t="s">
        <v>9</v>
      </c>
      <c r="B61" s="4">
        <v>33060</v>
      </c>
      <c r="C61">
        <v>2</v>
      </c>
      <c r="D61" s="17">
        <f t="shared" si="9"/>
        <v>14.764999999999999</v>
      </c>
      <c r="E61" s="17"/>
      <c r="F61" s="17">
        <f t="shared" ref="F61:F83" si="12">+$B$19</f>
        <v>0</v>
      </c>
      <c r="G61" s="17"/>
      <c r="H61" s="17">
        <f>+$B$21</f>
        <v>0</v>
      </c>
      <c r="I61" s="17"/>
      <c r="J61" s="17"/>
      <c r="K61" s="17">
        <f t="shared" ref="K61:K113" si="13">25%*($B$17="ON")</f>
        <v>0.25</v>
      </c>
      <c r="L61" s="39">
        <f t="shared" si="10"/>
        <v>15.014999999999999</v>
      </c>
      <c r="M61" s="4">
        <f t="shared" si="11"/>
        <v>496395.89999999997</v>
      </c>
      <c r="N61">
        <v>9</v>
      </c>
    </row>
    <row r="62" spans="1:16" x14ac:dyDescent="0.25">
      <c r="A62" t="s">
        <v>23</v>
      </c>
      <c r="B62" s="4">
        <v>16530</v>
      </c>
      <c r="C62">
        <v>1</v>
      </c>
      <c r="D62" s="17">
        <f t="shared" si="9"/>
        <v>14.764999999999999</v>
      </c>
      <c r="E62" s="17"/>
      <c r="F62" s="17">
        <f t="shared" si="12"/>
        <v>0</v>
      </c>
      <c r="G62" s="17"/>
      <c r="H62" s="17"/>
      <c r="I62" s="17">
        <f>+$B$22</f>
        <v>0</v>
      </c>
      <c r="J62" s="17"/>
      <c r="K62" s="17">
        <f t="shared" si="13"/>
        <v>0.25</v>
      </c>
      <c r="L62" s="39">
        <f t="shared" si="10"/>
        <v>15.014999999999999</v>
      </c>
      <c r="M62" s="4">
        <f t="shared" si="11"/>
        <v>248197.94999999998</v>
      </c>
      <c r="N62">
        <v>9</v>
      </c>
    </row>
    <row r="63" spans="1:16" x14ac:dyDescent="0.25">
      <c r="A63" t="s">
        <v>26</v>
      </c>
      <c r="B63" s="4">
        <v>16530</v>
      </c>
      <c r="C63">
        <v>1</v>
      </c>
      <c r="D63" s="17">
        <f t="shared" si="9"/>
        <v>14.764999999999999</v>
      </c>
      <c r="E63" s="17"/>
      <c r="F63" s="17">
        <f t="shared" si="12"/>
        <v>0</v>
      </c>
      <c r="G63" s="17"/>
      <c r="H63" s="17"/>
      <c r="I63" s="17"/>
      <c r="J63" s="17">
        <f>+$B$23</f>
        <v>0</v>
      </c>
      <c r="K63" s="17">
        <f t="shared" si="13"/>
        <v>0.25</v>
      </c>
      <c r="L63" s="39">
        <f t="shared" si="10"/>
        <v>15.014999999999999</v>
      </c>
      <c r="M63" s="4">
        <f t="shared" si="11"/>
        <v>248197.94999999998</v>
      </c>
      <c r="N63">
        <v>9</v>
      </c>
    </row>
    <row r="64" spans="1:16" x14ac:dyDescent="0.25">
      <c r="A64" t="s">
        <v>62</v>
      </c>
      <c r="B64" s="4">
        <v>183600</v>
      </c>
      <c r="C64">
        <v>20</v>
      </c>
      <c r="D64" s="17">
        <f t="shared" si="9"/>
        <v>14.764999999999999</v>
      </c>
      <c r="E64" s="17">
        <f>+$B$16</f>
        <v>1</v>
      </c>
      <c r="F64" s="17">
        <f t="shared" si="12"/>
        <v>0</v>
      </c>
      <c r="G64" s="17">
        <f>+$B$20</f>
        <v>0</v>
      </c>
      <c r="H64" s="17"/>
      <c r="I64" s="17"/>
      <c r="J64" s="17"/>
      <c r="K64" s="17">
        <f t="shared" si="13"/>
        <v>0.25</v>
      </c>
      <c r="L64" s="39">
        <f t="shared" si="10"/>
        <v>16.015000000000001</v>
      </c>
      <c r="M64" s="4">
        <f t="shared" si="11"/>
        <v>2940354</v>
      </c>
      <c r="N64">
        <f>+N60-1</f>
        <v>8</v>
      </c>
      <c r="O64" s="9"/>
    </row>
    <row r="65" spans="1:14" x14ac:dyDescent="0.25">
      <c r="A65" t="s">
        <v>11</v>
      </c>
      <c r="B65" s="4">
        <v>18360</v>
      </c>
      <c r="C65">
        <v>2</v>
      </c>
      <c r="D65" s="17">
        <f t="shared" si="9"/>
        <v>14.764999999999999</v>
      </c>
      <c r="E65" s="17"/>
      <c r="F65" s="17">
        <f t="shared" si="12"/>
        <v>0</v>
      </c>
      <c r="G65" s="17"/>
      <c r="H65" s="17">
        <f>+$B$21</f>
        <v>0</v>
      </c>
      <c r="I65" s="17"/>
      <c r="J65" s="17"/>
      <c r="K65" s="17">
        <f t="shared" si="13"/>
        <v>0.25</v>
      </c>
      <c r="L65" s="39">
        <f t="shared" si="10"/>
        <v>15.014999999999999</v>
      </c>
      <c r="M65" s="4">
        <f t="shared" si="11"/>
        <v>275675.39999999997</v>
      </c>
      <c r="N65">
        <f t="shared" ref="N65:N79" si="14">+N61-1</f>
        <v>8</v>
      </c>
    </row>
    <row r="66" spans="1:14" x14ac:dyDescent="0.25">
      <c r="A66" t="s">
        <v>25</v>
      </c>
      <c r="B66" s="4">
        <v>9180</v>
      </c>
      <c r="C66">
        <v>1</v>
      </c>
      <c r="D66" s="17">
        <f t="shared" si="9"/>
        <v>14.764999999999999</v>
      </c>
      <c r="E66" s="17"/>
      <c r="F66" s="17">
        <f t="shared" si="12"/>
        <v>0</v>
      </c>
      <c r="G66" s="17"/>
      <c r="H66" s="17"/>
      <c r="I66" s="17">
        <f>+$B$22</f>
        <v>0</v>
      </c>
      <c r="J66" s="17"/>
      <c r="K66" s="17">
        <f t="shared" si="13"/>
        <v>0.25</v>
      </c>
      <c r="L66" s="39">
        <f t="shared" si="10"/>
        <v>15.014999999999999</v>
      </c>
      <c r="M66" s="4">
        <f t="shared" si="11"/>
        <v>137837.69999999998</v>
      </c>
      <c r="N66">
        <f t="shared" si="14"/>
        <v>8</v>
      </c>
    </row>
    <row r="67" spans="1:14" x14ac:dyDescent="0.25">
      <c r="A67" t="s">
        <v>13</v>
      </c>
      <c r="B67" s="4">
        <v>9180</v>
      </c>
      <c r="C67">
        <v>1</v>
      </c>
      <c r="D67" s="17">
        <f t="shared" si="9"/>
        <v>14.764999999999999</v>
      </c>
      <c r="E67" s="17"/>
      <c r="F67" s="17">
        <f t="shared" si="12"/>
        <v>0</v>
      </c>
      <c r="G67" s="17"/>
      <c r="H67" s="17"/>
      <c r="I67" s="17"/>
      <c r="J67" s="17">
        <f>+$B$23</f>
        <v>0</v>
      </c>
      <c r="K67" s="17">
        <f t="shared" si="13"/>
        <v>0.25</v>
      </c>
      <c r="L67" s="39">
        <f t="shared" si="10"/>
        <v>15.014999999999999</v>
      </c>
      <c r="M67" s="4">
        <f t="shared" si="11"/>
        <v>137837.69999999998</v>
      </c>
      <c r="N67">
        <f t="shared" si="14"/>
        <v>8</v>
      </c>
    </row>
    <row r="68" spans="1:14" x14ac:dyDescent="0.25">
      <c r="A68" t="s">
        <v>63</v>
      </c>
      <c r="B68" s="4">
        <v>5100</v>
      </c>
      <c r="C68">
        <v>1</v>
      </c>
      <c r="D68" s="17">
        <f t="shared" si="9"/>
        <v>14.764999999999999</v>
      </c>
      <c r="E68" s="17"/>
      <c r="F68" s="17">
        <f t="shared" si="12"/>
        <v>0</v>
      </c>
      <c r="G68" s="17">
        <f>+$B$20</f>
        <v>0</v>
      </c>
      <c r="H68" s="17"/>
      <c r="I68" s="17"/>
      <c r="J68" s="17"/>
      <c r="K68" s="17">
        <f t="shared" si="13"/>
        <v>0.25</v>
      </c>
      <c r="L68" s="39">
        <f t="shared" si="10"/>
        <v>15.014999999999999</v>
      </c>
      <c r="M68" s="4">
        <f t="shared" si="11"/>
        <v>76576.5</v>
      </c>
      <c r="N68">
        <f>+N64-1</f>
        <v>7</v>
      </c>
    </row>
    <row r="69" spans="1:14" x14ac:dyDescent="0.25">
      <c r="A69" t="s">
        <v>64</v>
      </c>
      <c r="B69" s="4">
        <v>10200</v>
      </c>
      <c r="C69">
        <v>2</v>
      </c>
      <c r="D69" s="17">
        <f t="shared" si="9"/>
        <v>14.764999999999999</v>
      </c>
      <c r="E69" s="17"/>
      <c r="F69" s="17">
        <f t="shared" si="12"/>
        <v>0</v>
      </c>
      <c r="G69" s="17"/>
      <c r="H69" s="17">
        <f>+$B$21</f>
        <v>0</v>
      </c>
      <c r="I69" s="17"/>
      <c r="J69" s="17"/>
      <c r="K69" s="17">
        <f t="shared" si="13"/>
        <v>0.25</v>
      </c>
      <c r="L69" s="39">
        <f t="shared" si="10"/>
        <v>15.014999999999999</v>
      </c>
      <c r="M69" s="4">
        <f t="shared" si="11"/>
        <v>153153</v>
      </c>
      <c r="N69">
        <f t="shared" si="14"/>
        <v>7</v>
      </c>
    </row>
    <row r="70" spans="1:14" x14ac:dyDescent="0.25">
      <c r="A70" t="s">
        <v>65</v>
      </c>
      <c r="B70" s="4">
        <v>5100</v>
      </c>
      <c r="C70">
        <v>1</v>
      </c>
      <c r="D70" s="17">
        <f t="shared" si="9"/>
        <v>14.764999999999999</v>
      </c>
      <c r="E70" s="17"/>
      <c r="F70" s="17">
        <f t="shared" si="12"/>
        <v>0</v>
      </c>
      <c r="G70" s="17"/>
      <c r="H70" s="17"/>
      <c r="I70" s="17">
        <f>+$B$22</f>
        <v>0</v>
      </c>
      <c r="J70" s="17"/>
      <c r="K70" s="17">
        <f t="shared" si="13"/>
        <v>0.25</v>
      </c>
      <c r="L70" s="39">
        <f t="shared" si="10"/>
        <v>15.014999999999999</v>
      </c>
      <c r="M70" s="4">
        <f t="shared" si="11"/>
        <v>76576.5</v>
      </c>
      <c r="N70">
        <f t="shared" si="14"/>
        <v>7</v>
      </c>
    </row>
    <row r="71" spans="1:14" x14ac:dyDescent="0.25">
      <c r="A71" t="s">
        <v>66</v>
      </c>
      <c r="B71" s="4">
        <v>5100</v>
      </c>
      <c r="C71">
        <v>1</v>
      </c>
      <c r="D71" s="17">
        <f t="shared" si="9"/>
        <v>14.764999999999999</v>
      </c>
      <c r="E71" s="17"/>
      <c r="F71" s="17">
        <f t="shared" si="12"/>
        <v>0</v>
      </c>
      <c r="G71" s="17"/>
      <c r="H71" s="17"/>
      <c r="I71" s="17"/>
      <c r="J71" s="17">
        <f>+$B$23</f>
        <v>0</v>
      </c>
      <c r="K71" s="17">
        <f t="shared" si="13"/>
        <v>0.25</v>
      </c>
      <c r="L71" s="39">
        <f t="shared" si="10"/>
        <v>15.014999999999999</v>
      </c>
      <c r="M71" s="4">
        <f t="shared" si="11"/>
        <v>76576.5</v>
      </c>
      <c r="N71">
        <f t="shared" si="14"/>
        <v>7</v>
      </c>
    </row>
    <row r="72" spans="1:14" x14ac:dyDescent="0.25">
      <c r="A72" t="s">
        <v>67</v>
      </c>
      <c r="B72" s="4">
        <v>2820</v>
      </c>
      <c r="C72">
        <v>1</v>
      </c>
      <c r="D72" s="17">
        <f t="shared" si="9"/>
        <v>14.764999999999999</v>
      </c>
      <c r="E72" s="17"/>
      <c r="F72" s="17">
        <f t="shared" si="12"/>
        <v>0</v>
      </c>
      <c r="G72" s="17">
        <f>+$B$20</f>
        <v>0</v>
      </c>
      <c r="H72" s="17"/>
      <c r="I72" s="17"/>
      <c r="J72" s="17"/>
      <c r="K72" s="17">
        <f t="shared" si="13"/>
        <v>0.25</v>
      </c>
      <c r="L72" s="39">
        <f t="shared" si="10"/>
        <v>15.014999999999999</v>
      </c>
      <c r="M72" s="4">
        <f t="shared" si="11"/>
        <v>42342.299999999996</v>
      </c>
      <c r="N72">
        <f t="shared" si="14"/>
        <v>6</v>
      </c>
    </row>
    <row r="73" spans="1:14" x14ac:dyDescent="0.25">
      <c r="A73" t="s">
        <v>68</v>
      </c>
      <c r="B73" s="4">
        <v>5700</v>
      </c>
      <c r="C73">
        <v>2</v>
      </c>
      <c r="D73" s="17">
        <f t="shared" si="9"/>
        <v>14.764999999999999</v>
      </c>
      <c r="E73" s="17"/>
      <c r="F73" s="17">
        <f t="shared" si="12"/>
        <v>0</v>
      </c>
      <c r="G73" s="17"/>
      <c r="H73" s="17">
        <f>+$B$21</f>
        <v>0</v>
      </c>
      <c r="I73" s="17"/>
      <c r="J73" s="17"/>
      <c r="K73" s="17">
        <f t="shared" si="13"/>
        <v>0.25</v>
      </c>
      <c r="L73" s="39">
        <f t="shared" si="10"/>
        <v>15.014999999999999</v>
      </c>
      <c r="M73" s="4">
        <f t="shared" si="11"/>
        <v>85585.5</v>
      </c>
      <c r="N73">
        <f t="shared" si="14"/>
        <v>6</v>
      </c>
    </row>
    <row r="74" spans="1:14" x14ac:dyDescent="0.25">
      <c r="A74" t="s">
        <v>69</v>
      </c>
      <c r="B74" s="4">
        <v>2820</v>
      </c>
      <c r="C74">
        <v>1</v>
      </c>
      <c r="D74" s="17">
        <f t="shared" si="9"/>
        <v>14.764999999999999</v>
      </c>
      <c r="E74" s="17"/>
      <c r="F74" s="17">
        <f t="shared" si="12"/>
        <v>0</v>
      </c>
      <c r="G74" s="17"/>
      <c r="H74" s="17"/>
      <c r="I74" s="17">
        <f>+$B$22</f>
        <v>0</v>
      </c>
      <c r="J74" s="17"/>
      <c r="K74" s="17">
        <f t="shared" si="13"/>
        <v>0.25</v>
      </c>
      <c r="L74" s="39">
        <f t="shared" si="10"/>
        <v>15.014999999999999</v>
      </c>
      <c r="M74" s="4">
        <f t="shared" si="11"/>
        <v>42342.299999999996</v>
      </c>
      <c r="N74">
        <f t="shared" si="14"/>
        <v>6</v>
      </c>
    </row>
    <row r="75" spans="1:14" x14ac:dyDescent="0.25">
      <c r="A75" t="s">
        <v>70</v>
      </c>
      <c r="B75" s="4">
        <v>2820</v>
      </c>
      <c r="C75">
        <v>1</v>
      </c>
      <c r="D75" s="17">
        <f t="shared" si="9"/>
        <v>14.764999999999999</v>
      </c>
      <c r="E75" s="17"/>
      <c r="F75" s="17">
        <f t="shared" si="12"/>
        <v>0</v>
      </c>
      <c r="G75" s="17"/>
      <c r="H75" s="17"/>
      <c r="I75" s="17"/>
      <c r="J75" s="17">
        <f>+$B$23</f>
        <v>0</v>
      </c>
      <c r="K75" s="17">
        <f t="shared" si="13"/>
        <v>0.25</v>
      </c>
      <c r="L75" s="39">
        <f t="shared" si="10"/>
        <v>15.014999999999999</v>
      </c>
      <c r="M75" s="4">
        <f t="shared" si="11"/>
        <v>42342.299999999996</v>
      </c>
      <c r="N75">
        <f t="shared" si="14"/>
        <v>6</v>
      </c>
    </row>
    <row r="76" spans="1:14" x14ac:dyDescent="0.25">
      <c r="A76" t="s">
        <v>71</v>
      </c>
      <c r="B76" s="4">
        <v>1560</v>
      </c>
      <c r="C76">
        <v>1</v>
      </c>
      <c r="D76" s="17">
        <f t="shared" si="9"/>
        <v>14.764999999999999</v>
      </c>
      <c r="E76" s="17"/>
      <c r="F76" s="17">
        <f t="shared" si="12"/>
        <v>0</v>
      </c>
      <c r="G76" s="17">
        <f>+$B$20</f>
        <v>0</v>
      </c>
      <c r="H76" s="17"/>
      <c r="I76" s="17"/>
      <c r="J76" s="17"/>
      <c r="K76" s="17">
        <f t="shared" si="13"/>
        <v>0.25</v>
      </c>
      <c r="L76" s="39">
        <f t="shared" si="10"/>
        <v>15.014999999999999</v>
      </c>
      <c r="M76" s="4">
        <f t="shared" si="11"/>
        <v>23423.399999999998</v>
      </c>
      <c r="N76">
        <f t="shared" si="14"/>
        <v>5</v>
      </c>
    </row>
    <row r="77" spans="1:14" x14ac:dyDescent="0.25">
      <c r="A77" t="s">
        <v>72</v>
      </c>
      <c r="B77" s="4">
        <v>3150</v>
      </c>
      <c r="C77">
        <v>2</v>
      </c>
      <c r="D77" s="17">
        <f t="shared" si="9"/>
        <v>14.764999999999999</v>
      </c>
      <c r="E77" s="17"/>
      <c r="F77" s="17">
        <f t="shared" si="12"/>
        <v>0</v>
      </c>
      <c r="G77" s="17"/>
      <c r="H77" s="17">
        <f>+$B$21</f>
        <v>0</v>
      </c>
      <c r="I77" s="17"/>
      <c r="J77" s="17"/>
      <c r="K77" s="17">
        <f t="shared" si="13"/>
        <v>0.25</v>
      </c>
      <c r="L77" s="39">
        <f t="shared" si="10"/>
        <v>15.014999999999999</v>
      </c>
      <c r="M77" s="4">
        <f t="shared" si="11"/>
        <v>47297.249999999993</v>
      </c>
      <c r="N77">
        <f t="shared" si="14"/>
        <v>5</v>
      </c>
    </row>
    <row r="78" spans="1:14" x14ac:dyDescent="0.25">
      <c r="A78" t="s">
        <v>73</v>
      </c>
      <c r="B78" s="4">
        <v>1560</v>
      </c>
      <c r="C78">
        <v>1</v>
      </c>
      <c r="D78" s="17">
        <f t="shared" si="9"/>
        <v>14.764999999999999</v>
      </c>
      <c r="E78" s="17"/>
      <c r="F78" s="17">
        <f t="shared" si="12"/>
        <v>0</v>
      </c>
      <c r="G78" s="17"/>
      <c r="H78" s="17"/>
      <c r="I78" s="17">
        <f>+$B$22</f>
        <v>0</v>
      </c>
      <c r="J78" s="17"/>
      <c r="K78" s="17">
        <f t="shared" si="13"/>
        <v>0.25</v>
      </c>
      <c r="L78" s="39">
        <f t="shared" si="10"/>
        <v>15.014999999999999</v>
      </c>
      <c r="M78" s="4">
        <f t="shared" si="11"/>
        <v>23423.399999999998</v>
      </c>
      <c r="N78">
        <f t="shared" si="14"/>
        <v>5</v>
      </c>
    </row>
    <row r="79" spans="1:14" x14ac:dyDescent="0.25">
      <c r="A79" t="s">
        <v>74</v>
      </c>
      <c r="B79" s="4">
        <v>1560</v>
      </c>
      <c r="C79">
        <v>1</v>
      </c>
      <c r="D79" s="17">
        <f t="shared" si="9"/>
        <v>14.764999999999999</v>
      </c>
      <c r="E79" s="17"/>
      <c r="F79" s="17">
        <f t="shared" si="12"/>
        <v>0</v>
      </c>
      <c r="G79" s="17"/>
      <c r="H79" s="17"/>
      <c r="I79" s="17"/>
      <c r="J79" s="17">
        <f>+$B$23</f>
        <v>0</v>
      </c>
      <c r="K79" s="17">
        <f t="shared" si="13"/>
        <v>0.25</v>
      </c>
      <c r="L79" s="39">
        <f t="shared" si="10"/>
        <v>15.014999999999999</v>
      </c>
      <c r="M79" s="4">
        <f t="shared" si="11"/>
        <v>23423.399999999998</v>
      </c>
      <c r="N79">
        <f t="shared" si="14"/>
        <v>5</v>
      </c>
    </row>
    <row r="80" spans="1:14" x14ac:dyDescent="0.25">
      <c r="A80" t="s">
        <v>121</v>
      </c>
      <c r="B80" s="4">
        <v>870</v>
      </c>
      <c r="C80">
        <v>1</v>
      </c>
      <c r="D80" s="17">
        <f t="shared" si="9"/>
        <v>14.764999999999999</v>
      </c>
      <c r="E80" s="17"/>
      <c r="F80" s="17">
        <f t="shared" si="12"/>
        <v>0</v>
      </c>
      <c r="G80" s="17"/>
      <c r="H80" s="17"/>
      <c r="I80" s="17"/>
      <c r="J80" s="17">
        <f t="shared" ref="J80:J83" si="15">+$B$23</f>
        <v>0</v>
      </c>
      <c r="K80" s="17">
        <f t="shared" si="13"/>
        <v>0.25</v>
      </c>
      <c r="L80" s="39">
        <f t="shared" si="10"/>
        <v>15.014999999999999</v>
      </c>
      <c r="M80" s="4">
        <f t="shared" si="11"/>
        <v>13063.05</v>
      </c>
      <c r="N80">
        <v>4</v>
      </c>
    </row>
    <row r="81" spans="1:15" x14ac:dyDescent="0.25">
      <c r="A81" t="s">
        <v>122</v>
      </c>
      <c r="B81" s="4">
        <v>480</v>
      </c>
      <c r="C81">
        <v>1</v>
      </c>
      <c r="D81" s="17">
        <f t="shared" si="9"/>
        <v>14.764999999999999</v>
      </c>
      <c r="E81" s="17"/>
      <c r="F81" s="17">
        <f t="shared" si="12"/>
        <v>0</v>
      </c>
      <c r="G81" s="17"/>
      <c r="H81" s="17"/>
      <c r="I81" s="17"/>
      <c r="J81" s="17">
        <f t="shared" si="15"/>
        <v>0</v>
      </c>
      <c r="K81" s="17">
        <f t="shared" si="13"/>
        <v>0.25</v>
      </c>
      <c r="L81" s="39">
        <f t="shared" si="10"/>
        <v>15.014999999999999</v>
      </c>
      <c r="M81" s="4">
        <f t="shared" si="11"/>
        <v>7207.2</v>
      </c>
      <c r="N81">
        <v>3</v>
      </c>
    </row>
    <row r="82" spans="1:15" x14ac:dyDescent="0.25">
      <c r="A82" t="s">
        <v>123</v>
      </c>
      <c r="B82" s="4">
        <v>270</v>
      </c>
      <c r="C82">
        <v>1</v>
      </c>
      <c r="D82" s="17">
        <f t="shared" si="9"/>
        <v>14.764999999999999</v>
      </c>
      <c r="E82" s="17"/>
      <c r="F82" s="17">
        <f t="shared" si="12"/>
        <v>0</v>
      </c>
      <c r="G82" s="17"/>
      <c r="H82" s="17"/>
      <c r="I82" s="17"/>
      <c r="J82" s="17">
        <f t="shared" si="15"/>
        <v>0</v>
      </c>
      <c r="K82" s="17">
        <f t="shared" si="13"/>
        <v>0.25</v>
      </c>
      <c r="L82" s="39">
        <f t="shared" si="10"/>
        <v>15.014999999999999</v>
      </c>
      <c r="M82" s="4">
        <f t="shared" si="11"/>
        <v>4054.0499999999997</v>
      </c>
      <c r="N82">
        <v>2</v>
      </c>
    </row>
    <row r="83" spans="1:15" x14ac:dyDescent="0.25">
      <c r="A83" t="s">
        <v>124</v>
      </c>
      <c r="B83" s="4">
        <v>150</v>
      </c>
      <c r="C83">
        <v>1</v>
      </c>
      <c r="D83" s="17">
        <f t="shared" si="9"/>
        <v>14.764999999999999</v>
      </c>
      <c r="E83" s="17"/>
      <c r="F83" s="17">
        <f t="shared" si="12"/>
        <v>0</v>
      </c>
      <c r="G83" s="17"/>
      <c r="H83" s="17"/>
      <c r="I83" s="17"/>
      <c r="J83" s="17">
        <f t="shared" si="15"/>
        <v>0</v>
      </c>
      <c r="K83" s="17">
        <f t="shared" si="13"/>
        <v>0.25</v>
      </c>
      <c r="L83" s="39">
        <f t="shared" si="10"/>
        <v>15.014999999999999</v>
      </c>
      <c r="M83" s="4">
        <f t="shared" si="11"/>
        <v>2252.25</v>
      </c>
      <c r="N83">
        <v>1</v>
      </c>
    </row>
    <row r="84" spans="1:15" x14ac:dyDescent="0.25">
      <c r="K84" s="17"/>
    </row>
    <row r="85" spans="1:15" ht="45" x14ac:dyDescent="0.25">
      <c r="A85" s="6" t="s">
        <v>125</v>
      </c>
      <c r="B85" s="18" t="str">
        <f>+B25</f>
        <v>Base Health</v>
      </c>
      <c r="C85" s="18" t="s">
        <v>138</v>
      </c>
      <c r="D85" s="18" t="str">
        <f t="shared" ref="D85:M85" si="16">+D25</f>
        <v>Base Bonus</v>
      </c>
      <c r="E85" s="18" t="str">
        <f t="shared" si="16"/>
        <v>Beast Bonus</v>
      </c>
      <c r="F85" s="18" t="str">
        <f t="shared" si="16"/>
        <v>Guardsmen Bonus</v>
      </c>
      <c r="G85" s="18" t="str">
        <f t="shared" si="16"/>
        <v>Flyings Bonus</v>
      </c>
      <c r="H85" s="18" t="str">
        <f t="shared" si="16"/>
        <v>Mounted Bonus</v>
      </c>
      <c r="I85" s="18" t="str">
        <f t="shared" si="16"/>
        <v>Ranged Bonus</v>
      </c>
      <c r="J85" s="18" t="str">
        <f t="shared" si="16"/>
        <v>Melee Bonus</v>
      </c>
      <c r="K85" s="18" t="str">
        <f t="shared" si="16"/>
        <v>Great Marshal</v>
      </c>
      <c r="L85" s="18" t="str">
        <f t="shared" si="16"/>
        <v xml:space="preserve">Total Health Bonus </v>
      </c>
      <c r="M85" s="18" t="str">
        <f t="shared" si="16"/>
        <v>Health per Troop</v>
      </c>
      <c r="O85" s="18" t="s">
        <v>157</v>
      </c>
    </row>
    <row r="86" spans="1:15" x14ac:dyDescent="0.25">
      <c r="A86" t="s">
        <v>126</v>
      </c>
      <c r="B86" s="4">
        <v>3450000</v>
      </c>
      <c r="C86" s="9">
        <v>52</v>
      </c>
      <c r="D86" s="17">
        <f t="shared" ref="D86:D113" si="17">+$B$15+54%</f>
        <v>15.204999999999998</v>
      </c>
      <c r="E86" s="17">
        <f t="shared" ref="E86:E113" si="18">+$B$16</f>
        <v>1</v>
      </c>
      <c r="I86" s="17">
        <f>+$B$22</f>
        <v>0</v>
      </c>
      <c r="K86" s="17">
        <f t="shared" si="13"/>
        <v>0.25</v>
      </c>
      <c r="L86" s="17">
        <f t="shared" ref="L86:L113" si="19">SUM(D86:K86)</f>
        <v>16.454999999999998</v>
      </c>
      <c r="M86" s="4">
        <f t="shared" ref="M86:M113" si="20">+B86*L86</f>
        <v>56769749.999999993</v>
      </c>
    </row>
    <row r="87" spans="1:15" x14ac:dyDescent="0.25">
      <c r="A87" t="s">
        <v>127</v>
      </c>
      <c r="B87" s="4">
        <v>3630000</v>
      </c>
      <c r="C87" s="9">
        <v>55</v>
      </c>
      <c r="D87" s="17">
        <f t="shared" si="17"/>
        <v>15.204999999999998</v>
      </c>
      <c r="E87" s="17">
        <f t="shared" si="18"/>
        <v>1</v>
      </c>
      <c r="J87" s="17">
        <f>+$B$23</f>
        <v>0</v>
      </c>
      <c r="K87" s="17">
        <f t="shared" si="13"/>
        <v>0.25</v>
      </c>
      <c r="L87" s="17">
        <f t="shared" si="19"/>
        <v>16.454999999999998</v>
      </c>
      <c r="M87" s="4">
        <f t="shared" si="20"/>
        <v>59731649.999999993</v>
      </c>
    </row>
    <row r="88" spans="1:15" x14ac:dyDescent="0.25">
      <c r="A88" t="s">
        <v>128</v>
      </c>
      <c r="B88" s="4">
        <v>3510000</v>
      </c>
      <c r="C88" s="9">
        <v>53</v>
      </c>
      <c r="D88" s="17">
        <f t="shared" si="17"/>
        <v>15.204999999999998</v>
      </c>
      <c r="E88" s="17">
        <f t="shared" si="18"/>
        <v>1</v>
      </c>
      <c r="H88" s="17">
        <f>+$B$21</f>
        <v>0</v>
      </c>
      <c r="K88" s="17">
        <f t="shared" si="13"/>
        <v>0.25</v>
      </c>
      <c r="L88" s="17">
        <f t="shared" si="19"/>
        <v>16.454999999999998</v>
      </c>
      <c r="M88" s="4">
        <f t="shared" si="20"/>
        <v>57757049.999999993</v>
      </c>
    </row>
    <row r="89" spans="1:15" x14ac:dyDescent="0.25">
      <c r="A89" t="s">
        <v>135</v>
      </c>
      <c r="B89" s="4">
        <v>3570000</v>
      </c>
      <c r="C89" s="9">
        <v>54</v>
      </c>
      <c r="D89" s="17">
        <f t="shared" si="17"/>
        <v>15.204999999999998</v>
      </c>
      <c r="E89" s="17">
        <f t="shared" si="18"/>
        <v>1</v>
      </c>
      <c r="G89" s="17">
        <f>+$B$20</f>
        <v>0</v>
      </c>
      <c r="K89" s="17">
        <f t="shared" si="13"/>
        <v>0.25</v>
      </c>
      <c r="L89" s="17">
        <f t="shared" si="19"/>
        <v>16.454999999999998</v>
      </c>
      <c r="M89" s="4">
        <f t="shared" si="20"/>
        <v>58744349.999999993</v>
      </c>
    </row>
    <row r="90" spans="1:15" x14ac:dyDescent="0.25">
      <c r="A90" t="s">
        <v>129</v>
      </c>
      <c r="B90" s="4">
        <v>1920000</v>
      </c>
      <c r="C90" s="9">
        <v>52</v>
      </c>
      <c r="D90" s="17">
        <f t="shared" si="17"/>
        <v>15.204999999999998</v>
      </c>
      <c r="E90" s="17">
        <f t="shared" si="18"/>
        <v>1</v>
      </c>
      <c r="I90" s="17">
        <f>+$B$22</f>
        <v>0</v>
      </c>
      <c r="K90" s="17">
        <f t="shared" si="13"/>
        <v>0.25</v>
      </c>
      <c r="L90" s="17">
        <f t="shared" si="19"/>
        <v>16.454999999999998</v>
      </c>
      <c r="M90" s="4">
        <f t="shared" si="20"/>
        <v>31593599.999999996</v>
      </c>
    </row>
    <row r="91" spans="1:15" x14ac:dyDescent="0.25">
      <c r="A91" t="s">
        <v>130</v>
      </c>
      <c r="B91" s="4">
        <v>2010000</v>
      </c>
      <c r="C91" s="9">
        <v>55</v>
      </c>
      <c r="D91" s="17">
        <f t="shared" si="17"/>
        <v>15.204999999999998</v>
      </c>
      <c r="E91" s="17">
        <f t="shared" si="18"/>
        <v>1</v>
      </c>
      <c r="J91" s="17">
        <f>+$B$23</f>
        <v>0</v>
      </c>
      <c r="K91" s="17">
        <f t="shared" si="13"/>
        <v>0.25</v>
      </c>
      <c r="L91" s="17">
        <f t="shared" si="19"/>
        <v>16.454999999999998</v>
      </c>
      <c r="M91" s="4">
        <f t="shared" si="20"/>
        <v>33074549.999999996</v>
      </c>
    </row>
    <row r="92" spans="1:15" x14ac:dyDescent="0.25">
      <c r="A92" t="s">
        <v>131</v>
      </c>
      <c r="B92" s="4">
        <v>1950000</v>
      </c>
      <c r="C92" s="9">
        <v>53</v>
      </c>
      <c r="D92" s="17">
        <f t="shared" si="17"/>
        <v>15.204999999999998</v>
      </c>
      <c r="E92" s="17">
        <f t="shared" si="18"/>
        <v>1</v>
      </c>
      <c r="H92" s="17">
        <f>+$B$21</f>
        <v>0</v>
      </c>
      <c r="K92" s="17">
        <f t="shared" si="13"/>
        <v>0.25</v>
      </c>
      <c r="L92" s="17">
        <f t="shared" si="19"/>
        <v>16.454999999999998</v>
      </c>
      <c r="M92" s="4">
        <f t="shared" si="20"/>
        <v>32087249.999999996</v>
      </c>
    </row>
    <row r="93" spans="1:15" x14ac:dyDescent="0.25">
      <c r="A93" t="s">
        <v>136</v>
      </c>
      <c r="B93" s="4">
        <v>1980000</v>
      </c>
      <c r="C93" s="9">
        <v>54</v>
      </c>
      <c r="D93" s="17">
        <f t="shared" si="17"/>
        <v>15.204999999999998</v>
      </c>
      <c r="E93" s="17">
        <f t="shared" si="18"/>
        <v>1</v>
      </c>
      <c r="G93" s="17">
        <f>+$B$20</f>
        <v>0</v>
      </c>
      <c r="K93" s="17">
        <f t="shared" si="13"/>
        <v>0.25</v>
      </c>
      <c r="L93" s="17">
        <f t="shared" si="19"/>
        <v>16.454999999999998</v>
      </c>
      <c r="M93" s="4">
        <f t="shared" si="20"/>
        <v>32580899.999999996</v>
      </c>
    </row>
    <row r="94" spans="1:15" x14ac:dyDescent="0.25">
      <c r="A94" t="s">
        <v>132</v>
      </c>
      <c r="B94" s="4">
        <v>870000</v>
      </c>
      <c r="C94" s="9">
        <v>43</v>
      </c>
      <c r="D94" s="17">
        <f t="shared" si="17"/>
        <v>15.204999999999998</v>
      </c>
      <c r="E94" s="17">
        <f t="shared" si="18"/>
        <v>1</v>
      </c>
      <c r="I94" s="17">
        <f>+$B$22</f>
        <v>0</v>
      </c>
      <c r="K94" s="17">
        <f t="shared" si="13"/>
        <v>0.25</v>
      </c>
      <c r="L94" s="17">
        <f t="shared" si="19"/>
        <v>16.454999999999998</v>
      </c>
      <c r="M94" s="4">
        <f t="shared" si="20"/>
        <v>14315849.999999998</v>
      </c>
    </row>
    <row r="95" spans="1:15" x14ac:dyDescent="0.25">
      <c r="A95" t="s">
        <v>133</v>
      </c>
      <c r="B95" s="4">
        <v>930000</v>
      </c>
      <c r="C95" s="9">
        <v>41</v>
      </c>
      <c r="D95" s="17">
        <f t="shared" si="17"/>
        <v>15.204999999999998</v>
      </c>
      <c r="E95" s="17">
        <f t="shared" si="18"/>
        <v>1</v>
      </c>
      <c r="J95" s="17">
        <f>+$B$23</f>
        <v>0</v>
      </c>
      <c r="K95" s="17">
        <f t="shared" si="13"/>
        <v>0.25</v>
      </c>
      <c r="L95" s="17">
        <f t="shared" si="19"/>
        <v>16.454999999999998</v>
      </c>
      <c r="M95" s="4">
        <f t="shared" si="20"/>
        <v>15303149.999999998</v>
      </c>
    </row>
    <row r="96" spans="1:15" x14ac:dyDescent="0.25">
      <c r="A96" t="s">
        <v>134</v>
      </c>
      <c r="B96" s="4">
        <v>840000</v>
      </c>
      <c r="C96" s="9">
        <v>41</v>
      </c>
      <c r="D96" s="17">
        <f t="shared" si="17"/>
        <v>15.204999999999998</v>
      </c>
      <c r="E96" s="17">
        <f t="shared" si="18"/>
        <v>1</v>
      </c>
      <c r="H96" s="17">
        <f>+$B$21</f>
        <v>0</v>
      </c>
      <c r="K96" s="17">
        <f t="shared" si="13"/>
        <v>0.25</v>
      </c>
      <c r="L96" s="17">
        <f t="shared" si="19"/>
        <v>16.454999999999998</v>
      </c>
      <c r="M96" s="4">
        <f t="shared" si="20"/>
        <v>13822199.999999998</v>
      </c>
    </row>
    <row r="97" spans="1:13" x14ac:dyDescent="0.25">
      <c r="A97" t="s">
        <v>137</v>
      </c>
      <c r="B97" s="4">
        <v>900000</v>
      </c>
      <c r="C97" s="9">
        <v>44</v>
      </c>
      <c r="D97" s="17">
        <f t="shared" si="17"/>
        <v>15.204999999999998</v>
      </c>
      <c r="E97" s="17">
        <f t="shared" si="18"/>
        <v>1</v>
      </c>
      <c r="G97" s="17">
        <f>+$B$20</f>
        <v>0</v>
      </c>
      <c r="K97" s="17">
        <f t="shared" si="13"/>
        <v>0.25</v>
      </c>
      <c r="L97" s="17">
        <f t="shared" si="19"/>
        <v>16.454999999999998</v>
      </c>
      <c r="M97" s="4">
        <f t="shared" si="20"/>
        <v>14809499.999999998</v>
      </c>
    </row>
    <row r="98" spans="1:13" x14ac:dyDescent="0.25">
      <c r="A98" t="s">
        <v>163</v>
      </c>
      <c r="B98" s="4">
        <v>360000</v>
      </c>
      <c r="C98" s="9">
        <v>33</v>
      </c>
      <c r="D98" s="17">
        <f t="shared" si="17"/>
        <v>15.204999999999998</v>
      </c>
      <c r="E98" s="17">
        <f t="shared" si="18"/>
        <v>1</v>
      </c>
      <c r="I98" s="17"/>
      <c r="J98" s="17">
        <f>+$B$23</f>
        <v>0</v>
      </c>
      <c r="K98" s="17">
        <f t="shared" si="13"/>
        <v>0.25</v>
      </c>
      <c r="L98" s="17">
        <f t="shared" si="19"/>
        <v>16.454999999999998</v>
      </c>
      <c r="M98" s="4">
        <f t="shared" si="20"/>
        <v>5923799.9999999991</v>
      </c>
    </row>
    <row r="99" spans="1:13" x14ac:dyDescent="0.25">
      <c r="A99" t="s">
        <v>162</v>
      </c>
      <c r="B99" s="4">
        <v>390000</v>
      </c>
      <c r="C99" s="9">
        <v>34</v>
      </c>
      <c r="D99" s="17">
        <f t="shared" si="17"/>
        <v>15.204999999999998</v>
      </c>
      <c r="E99" s="17">
        <f t="shared" si="18"/>
        <v>1</v>
      </c>
      <c r="J99" s="17">
        <f>+$B$23</f>
        <v>0</v>
      </c>
      <c r="K99" s="17">
        <f t="shared" si="13"/>
        <v>0.25</v>
      </c>
      <c r="L99" s="17">
        <f t="shared" si="19"/>
        <v>16.454999999999998</v>
      </c>
      <c r="M99" s="4">
        <f t="shared" si="20"/>
        <v>6417449.9999999991</v>
      </c>
    </row>
    <row r="100" spans="1:13" x14ac:dyDescent="0.25">
      <c r="A100" t="s">
        <v>164</v>
      </c>
      <c r="B100" s="4">
        <v>390000</v>
      </c>
      <c r="C100" s="9">
        <v>35</v>
      </c>
      <c r="D100" s="17">
        <f t="shared" si="17"/>
        <v>15.204999999999998</v>
      </c>
      <c r="E100" s="17">
        <f t="shared" si="18"/>
        <v>1</v>
      </c>
      <c r="H100" s="17"/>
      <c r="J100" s="17">
        <f>+$B$23</f>
        <v>0</v>
      </c>
      <c r="K100" s="17">
        <f t="shared" si="13"/>
        <v>0.25</v>
      </c>
      <c r="L100" s="17">
        <f t="shared" si="19"/>
        <v>16.454999999999998</v>
      </c>
      <c r="M100" s="4">
        <f t="shared" si="20"/>
        <v>6417449.9999999991</v>
      </c>
    </row>
    <row r="101" spans="1:13" x14ac:dyDescent="0.25">
      <c r="A101" t="s">
        <v>144</v>
      </c>
      <c r="B101" s="4">
        <v>330000</v>
      </c>
      <c r="C101" s="9">
        <v>30</v>
      </c>
      <c r="D101" s="17">
        <f t="shared" si="17"/>
        <v>15.204999999999998</v>
      </c>
      <c r="E101" s="17">
        <f t="shared" si="18"/>
        <v>1</v>
      </c>
      <c r="G101" s="17"/>
      <c r="H101" s="17">
        <f>+$B$21</f>
        <v>0</v>
      </c>
      <c r="K101" s="17">
        <f t="shared" si="13"/>
        <v>0.25</v>
      </c>
      <c r="L101" s="17">
        <f t="shared" si="19"/>
        <v>16.454999999999998</v>
      </c>
      <c r="M101" s="4">
        <f t="shared" si="20"/>
        <v>5430149.9999999991</v>
      </c>
    </row>
    <row r="102" spans="1:13" x14ac:dyDescent="0.25">
      <c r="A102" t="s">
        <v>165</v>
      </c>
      <c r="B102" s="4">
        <v>144000</v>
      </c>
      <c r="C102" s="9">
        <v>23</v>
      </c>
      <c r="D102" s="17">
        <f t="shared" si="17"/>
        <v>15.204999999999998</v>
      </c>
      <c r="E102" s="17">
        <f t="shared" si="18"/>
        <v>1</v>
      </c>
      <c r="I102" s="17"/>
      <c r="J102" s="17">
        <f>+$B$23</f>
        <v>0</v>
      </c>
      <c r="K102" s="17">
        <f t="shared" si="13"/>
        <v>0.25</v>
      </c>
      <c r="L102" s="17">
        <f t="shared" si="19"/>
        <v>16.454999999999998</v>
      </c>
      <c r="M102" s="4">
        <f t="shared" si="20"/>
        <v>2369519.9999999995</v>
      </c>
    </row>
    <row r="103" spans="1:13" x14ac:dyDescent="0.25">
      <c r="A103" t="s">
        <v>166</v>
      </c>
      <c r="B103" s="4">
        <v>126000</v>
      </c>
      <c r="C103" s="9">
        <v>20</v>
      </c>
      <c r="D103" s="17">
        <f t="shared" si="17"/>
        <v>15.204999999999998</v>
      </c>
      <c r="E103" s="17">
        <f t="shared" si="18"/>
        <v>1</v>
      </c>
      <c r="H103" s="17">
        <f>+$B$21</f>
        <v>0</v>
      </c>
      <c r="J103" s="17"/>
      <c r="K103" s="17">
        <f t="shared" si="13"/>
        <v>0.25</v>
      </c>
      <c r="L103" s="17">
        <f t="shared" si="19"/>
        <v>16.454999999999998</v>
      </c>
      <c r="M103" s="4">
        <f t="shared" si="20"/>
        <v>2073329.9999999998</v>
      </c>
    </row>
    <row r="104" spans="1:13" x14ac:dyDescent="0.25">
      <c r="A104" t="s">
        <v>167</v>
      </c>
      <c r="B104" s="4">
        <v>132000</v>
      </c>
      <c r="C104" s="9">
        <v>21</v>
      </c>
      <c r="D104" s="17">
        <f t="shared" si="17"/>
        <v>15.204999999999998</v>
      </c>
      <c r="E104" s="17">
        <f t="shared" si="18"/>
        <v>1</v>
      </c>
      <c r="H104" s="17">
        <f>+$B$21</f>
        <v>0</v>
      </c>
      <c r="K104" s="17">
        <f t="shared" si="13"/>
        <v>0.25</v>
      </c>
      <c r="L104" s="17">
        <f t="shared" si="19"/>
        <v>16.454999999999998</v>
      </c>
      <c r="M104" s="4">
        <f t="shared" si="20"/>
        <v>2172060</v>
      </c>
    </row>
    <row r="105" spans="1:13" x14ac:dyDescent="0.25">
      <c r="A105" t="s">
        <v>168</v>
      </c>
      <c r="B105" s="4">
        <v>138000</v>
      </c>
      <c r="C105" s="9">
        <v>22</v>
      </c>
      <c r="D105" s="17">
        <f t="shared" si="17"/>
        <v>15.204999999999998</v>
      </c>
      <c r="E105" s="17">
        <f t="shared" si="18"/>
        <v>1</v>
      </c>
      <c r="G105" s="17">
        <f>+$B$20</f>
        <v>0</v>
      </c>
      <c r="K105" s="17">
        <f t="shared" si="13"/>
        <v>0.25</v>
      </c>
      <c r="L105" s="17">
        <f t="shared" si="19"/>
        <v>16.454999999999998</v>
      </c>
      <c r="M105" s="4">
        <f t="shared" si="20"/>
        <v>2270789.9999999995</v>
      </c>
    </row>
    <row r="106" spans="1:13" x14ac:dyDescent="0.25">
      <c r="A106" t="s">
        <v>169</v>
      </c>
      <c r="B106" s="4">
        <v>45000</v>
      </c>
      <c r="C106" s="9">
        <v>13</v>
      </c>
      <c r="D106" s="17">
        <f t="shared" si="17"/>
        <v>15.204999999999998</v>
      </c>
      <c r="E106" s="17">
        <f t="shared" si="18"/>
        <v>1</v>
      </c>
      <c r="I106" s="17">
        <f>+$B$22</f>
        <v>0</v>
      </c>
      <c r="K106" s="17">
        <f t="shared" si="13"/>
        <v>0.25</v>
      </c>
      <c r="L106" s="17">
        <f t="shared" si="19"/>
        <v>16.454999999999998</v>
      </c>
      <c r="M106" s="4">
        <f t="shared" si="20"/>
        <v>740474.99999999988</v>
      </c>
    </row>
    <row r="107" spans="1:13" x14ac:dyDescent="0.25">
      <c r="A107" t="s">
        <v>170</v>
      </c>
      <c r="B107" s="4">
        <v>36000</v>
      </c>
      <c r="C107" s="9">
        <v>10</v>
      </c>
      <c r="D107" s="17">
        <f t="shared" si="17"/>
        <v>15.204999999999998</v>
      </c>
      <c r="E107" s="17">
        <f t="shared" si="18"/>
        <v>1</v>
      </c>
      <c r="I107" s="17">
        <f>+$B$22</f>
        <v>0</v>
      </c>
      <c r="J107" s="17"/>
      <c r="K107" s="17">
        <f t="shared" si="13"/>
        <v>0.25</v>
      </c>
      <c r="L107" s="17">
        <f t="shared" si="19"/>
        <v>16.454999999999998</v>
      </c>
      <c r="M107" s="4">
        <f t="shared" si="20"/>
        <v>592379.99999999988</v>
      </c>
    </row>
    <row r="108" spans="1:13" x14ac:dyDescent="0.25">
      <c r="A108" t="s">
        <v>171</v>
      </c>
      <c r="B108" s="4">
        <v>39000</v>
      </c>
      <c r="C108" s="9">
        <v>11</v>
      </c>
      <c r="D108" s="17">
        <f t="shared" si="17"/>
        <v>15.204999999999998</v>
      </c>
      <c r="E108" s="17">
        <f t="shared" si="18"/>
        <v>1</v>
      </c>
      <c r="I108" s="17"/>
      <c r="J108" s="17">
        <f>+$B$23</f>
        <v>0</v>
      </c>
      <c r="K108" s="17">
        <f t="shared" si="13"/>
        <v>0.25</v>
      </c>
      <c r="L108" s="17">
        <f t="shared" si="19"/>
        <v>16.454999999999998</v>
      </c>
      <c r="M108" s="4">
        <f t="shared" si="20"/>
        <v>641744.99999999988</v>
      </c>
    </row>
    <row r="109" spans="1:13" x14ac:dyDescent="0.25">
      <c r="A109" t="s">
        <v>172</v>
      </c>
      <c r="B109" s="4">
        <v>51000</v>
      </c>
      <c r="C109" s="9">
        <v>15</v>
      </c>
      <c r="D109" s="17">
        <f t="shared" si="17"/>
        <v>15.204999999999998</v>
      </c>
      <c r="E109" s="17">
        <f t="shared" si="18"/>
        <v>1</v>
      </c>
      <c r="G109" s="17">
        <f>+$B$20</f>
        <v>0</v>
      </c>
      <c r="I109" s="17"/>
      <c r="K109" s="17">
        <f t="shared" si="13"/>
        <v>0.25</v>
      </c>
      <c r="L109" s="17">
        <f t="shared" si="19"/>
        <v>16.454999999999998</v>
      </c>
      <c r="M109" s="4">
        <f t="shared" si="20"/>
        <v>839204.99999999988</v>
      </c>
    </row>
    <row r="110" spans="1:13" x14ac:dyDescent="0.25">
      <c r="A110" t="s">
        <v>173</v>
      </c>
      <c r="B110" s="4">
        <v>5700</v>
      </c>
      <c r="C110" s="9">
        <v>3</v>
      </c>
      <c r="D110" s="17">
        <f t="shared" si="17"/>
        <v>15.204999999999998</v>
      </c>
      <c r="E110" s="17">
        <f t="shared" si="18"/>
        <v>1</v>
      </c>
      <c r="I110" s="17">
        <f>+$B$22</f>
        <v>0</v>
      </c>
      <c r="K110" s="17">
        <f t="shared" si="13"/>
        <v>0.25</v>
      </c>
      <c r="L110" s="17">
        <f t="shared" si="19"/>
        <v>16.454999999999998</v>
      </c>
      <c r="M110" s="4">
        <f t="shared" si="20"/>
        <v>93793.499999999985</v>
      </c>
    </row>
    <row r="111" spans="1:13" x14ac:dyDescent="0.25">
      <c r="A111" t="s">
        <v>174</v>
      </c>
      <c r="B111" s="4">
        <v>11700</v>
      </c>
      <c r="C111" s="9">
        <v>6</v>
      </c>
      <c r="D111" s="17">
        <f t="shared" si="17"/>
        <v>15.204999999999998</v>
      </c>
      <c r="E111" s="17">
        <f t="shared" si="18"/>
        <v>1</v>
      </c>
      <c r="G111" s="17"/>
      <c r="H111" s="17">
        <f>+$B$21</f>
        <v>0</v>
      </c>
      <c r="K111" s="17">
        <f t="shared" si="13"/>
        <v>0.25</v>
      </c>
      <c r="L111" s="17">
        <f t="shared" si="19"/>
        <v>16.454999999999998</v>
      </c>
      <c r="M111" s="4">
        <f t="shared" si="20"/>
        <v>192523.49999999997</v>
      </c>
    </row>
    <row r="112" spans="1:13" x14ac:dyDescent="0.25">
      <c r="A112" t="s">
        <v>175</v>
      </c>
      <c r="B112" s="4">
        <v>13500</v>
      </c>
      <c r="C112" s="9">
        <v>7</v>
      </c>
      <c r="D112" s="17">
        <f t="shared" si="17"/>
        <v>15.204999999999998</v>
      </c>
      <c r="E112" s="17">
        <f t="shared" si="18"/>
        <v>1</v>
      </c>
      <c r="G112" s="17">
        <f>+$B$20</f>
        <v>0</v>
      </c>
      <c r="H112" s="17"/>
      <c r="K112" s="17">
        <f t="shared" si="13"/>
        <v>0.25</v>
      </c>
      <c r="L112" s="17">
        <f t="shared" si="19"/>
        <v>16.454999999999998</v>
      </c>
      <c r="M112" s="4">
        <f t="shared" si="20"/>
        <v>222142.49999999997</v>
      </c>
    </row>
    <row r="113" spans="1:13" x14ac:dyDescent="0.25">
      <c r="A113" t="s">
        <v>176</v>
      </c>
      <c r="B113" s="4">
        <v>15600</v>
      </c>
      <c r="C113" s="9">
        <v>8</v>
      </c>
      <c r="D113" s="17">
        <f t="shared" si="17"/>
        <v>15.204999999999998</v>
      </c>
      <c r="E113" s="17">
        <f t="shared" si="18"/>
        <v>1</v>
      </c>
      <c r="G113" s="17">
        <f>+$B$20</f>
        <v>0</v>
      </c>
      <c r="K113" s="17">
        <f t="shared" si="13"/>
        <v>0.25</v>
      </c>
      <c r="L113" s="17">
        <f t="shared" si="19"/>
        <v>16.454999999999998</v>
      </c>
      <c r="M113" s="4">
        <f t="shared" si="20"/>
        <v>256697.99999999997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98B2-EA7B-4E63-B5AC-2BD41F744BEE}">
  <dimension ref="A1:S115"/>
  <sheetViews>
    <sheetView tabSelected="1" topLeftCell="A14" workbookViewId="0">
      <selection activeCell="H47" sqref="H47"/>
    </sheetView>
  </sheetViews>
  <sheetFormatPr defaultRowHeight="15" outlineLevelRow="1" x14ac:dyDescent="0.25"/>
  <cols>
    <col min="1" max="1" width="27.375" bestFit="1" customWidth="1"/>
    <col min="2" max="2" width="10.75" bestFit="1" customWidth="1"/>
    <col min="3" max="3" width="10.5" bestFit="1" customWidth="1"/>
    <col min="4" max="4" width="11.5" customWidth="1"/>
    <col min="5" max="5" width="10.75" customWidth="1"/>
    <col min="6" max="6" width="25.75" bestFit="1" customWidth="1"/>
    <col min="7" max="7" width="19.625" bestFit="1" customWidth="1"/>
    <col min="8" max="8" width="16" bestFit="1" customWidth="1"/>
    <col min="9" max="9" width="22.125" bestFit="1" customWidth="1"/>
    <col min="10" max="10" width="9" customWidth="1"/>
    <col min="11" max="11" width="5" customWidth="1"/>
    <col min="12" max="12" width="11.375" customWidth="1"/>
    <col min="13" max="13" width="10.5" bestFit="1" customWidth="1"/>
    <col min="15" max="15" width="12.625" customWidth="1"/>
    <col min="19" max="19" width="12.5" customWidth="1"/>
  </cols>
  <sheetData>
    <row r="1" spans="1:11" x14ac:dyDescent="0.25">
      <c r="A1" s="41" t="s">
        <v>150</v>
      </c>
      <c r="B1" s="41"/>
      <c r="C1" s="14" t="s">
        <v>180</v>
      </c>
      <c r="D1" s="6" t="s">
        <v>192</v>
      </c>
      <c r="E1" s="14" t="s">
        <v>182</v>
      </c>
      <c r="G1" s="6" t="s">
        <v>153</v>
      </c>
      <c r="H1" s="30" t="s">
        <v>148</v>
      </c>
    </row>
    <row r="2" spans="1:11" x14ac:dyDescent="0.25">
      <c r="A2" s="14"/>
      <c r="B2" s="1">
        <v>3</v>
      </c>
      <c r="C2" s="9">
        <v>1</v>
      </c>
      <c r="D2" s="9">
        <v>2</v>
      </c>
      <c r="E2" s="9">
        <v>3</v>
      </c>
      <c r="G2" s="6"/>
      <c r="H2" s="6"/>
    </row>
    <row r="3" spans="1:11" x14ac:dyDescent="0.25">
      <c r="A3" s="19" t="s">
        <v>28</v>
      </c>
      <c r="B3" s="31">
        <f>+CHOOSE($B$2,C3,D3,E3)</f>
        <v>0.17499999999999999</v>
      </c>
      <c r="C3" s="23">
        <v>0.45</v>
      </c>
      <c r="D3" s="23"/>
      <c r="E3" s="23">
        <v>0.17499999999999999</v>
      </c>
    </row>
    <row r="4" spans="1:11" x14ac:dyDescent="0.25">
      <c r="A4" s="19" t="s">
        <v>34</v>
      </c>
      <c r="B4" s="31">
        <f t="shared" ref="B4:B24" si="0">+CHOOSE($B$2,C4,D4,E4)</f>
        <v>2.5</v>
      </c>
      <c r="C4" s="23">
        <v>2.5</v>
      </c>
      <c r="D4" s="23"/>
      <c r="E4" s="23">
        <v>2.5</v>
      </c>
      <c r="G4" s="26" t="s">
        <v>101</v>
      </c>
      <c r="H4" s="35">
        <v>227000</v>
      </c>
    </row>
    <row r="5" spans="1:11" x14ac:dyDescent="0.25">
      <c r="A5" s="19" t="s">
        <v>36</v>
      </c>
      <c r="B5" s="31">
        <f t="shared" si="0"/>
        <v>1.5</v>
      </c>
      <c r="C5" s="23">
        <v>1.5</v>
      </c>
      <c r="D5" s="23"/>
      <c r="E5" s="23">
        <v>1.5</v>
      </c>
      <c r="G5" s="26" t="s">
        <v>143</v>
      </c>
      <c r="H5" s="33">
        <f>+C60</f>
        <v>223440</v>
      </c>
      <c r="I5" s="10">
        <f>+H4-H5</f>
        <v>3560</v>
      </c>
    </row>
    <row r="6" spans="1:11" x14ac:dyDescent="0.25">
      <c r="A6" s="19" t="s">
        <v>29</v>
      </c>
      <c r="B6" s="31">
        <f t="shared" si="0"/>
        <v>1.2</v>
      </c>
      <c r="C6" s="23">
        <v>1.825</v>
      </c>
      <c r="D6" s="23"/>
      <c r="E6" s="23">
        <v>1.2</v>
      </c>
      <c r="G6" s="26" t="s">
        <v>141</v>
      </c>
      <c r="H6" s="35">
        <v>161768</v>
      </c>
    </row>
    <row r="7" spans="1:11" x14ac:dyDescent="0.25">
      <c r="A7" s="19" t="s">
        <v>27</v>
      </c>
      <c r="B7" s="31">
        <f t="shared" si="0"/>
        <v>3.1</v>
      </c>
      <c r="C7" s="23">
        <v>2.91</v>
      </c>
      <c r="D7" s="23"/>
      <c r="E7" s="23">
        <f>31%+50%+60%+70%+80%+19%</f>
        <v>3.1</v>
      </c>
      <c r="G7" s="26" t="s">
        <v>142</v>
      </c>
      <c r="H7" s="33">
        <f>+I60</f>
        <v>58200</v>
      </c>
    </row>
    <row r="8" spans="1:11" x14ac:dyDescent="0.25">
      <c r="A8" s="19" t="s">
        <v>77</v>
      </c>
      <c r="B8" s="31">
        <f t="shared" si="0"/>
        <v>0</v>
      </c>
      <c r="C8" s="23">
        <v>4.2699999999999996</v>
      </c>
      <c r="D8" s="23"/>
      <c r="E8" s="23">
        <v>0</v>
      </c>
      <c r="G8" s="26" t="s">
        <v>90</v>
      </c>
      <c r="H8" s="9">
        <f>+MAX(A63:A85)</f>
        <v>12</v>
      </c>
    </row>
    <row r="9" spans="1:11" x14ac:dyDescent="0.25">
      <c r="A9" s="19" t="s">
        <v>32</v>
      </c>
      <c r="B9" s="31">
        <f t="shared" si="0"/>
        <v>0</v>
      </c>
      <c r="C9" s="23">
        <f>240%+87%</f>
        <v>3.27</v>
      </c>
      <c r="D9" s="23"/>
      <c r="E9" s="23">
        <v>0</v>
      </c>
      <c r="G9" s="26" t="s">
        <v>156</v>
      </c>
      <c r="H9" s="33">
        <f>+MAX(E63:E85)</f>
        <v>9</v>
      </c>
    </row>
    <row r="10" spans="1:11" x14ac:dyDescent="0.25">
      <c r="A10" s="19" t="s">
        <v>33</v>
      </c>
      <c r="B10" s="31">
        <f t="shared" si="0"/>
        <v>3</v>
      </c>
      <c r="C10" s="23">
        <v>2.8</v>
      </c>
      <c r="D10" s="23"/>
      <c r="E10" s="23">
        <v>3</v>
      </c>
      <c r="G10" s="26" t="s">
        <v>102</v>
      </c>
      <c r="H10" s="9">
        <f>+COUNTIF($E$63:$E$85,$H$9)</f>
        <v>4</v>
      </c>
      <c r="I10" s="9">
        <f>+H10/1</f>
        <v>4</v>
      </c>
    </row>
    <row r="11" spans="1:11" x14ac:dyDescent="0.25">
      <c r="A11" s="19" t="s">
        <v>37</v>
      </c>
      <c r="B11" s="31">
        <f t="shared" si="0"/>
        <v>1.6</v>
      </c>
      <c r="C11" s="23">
        <v>1.6</v>
      </c>
      <c r="D11" s="23"/>
      <c r="E11" s="23">
        <v>1.6</v>
      </c>
      <c r="G11" s="26" t="s">
        <v>103</v>
      </c>
      <c r="H11" s="9">
        <f>+COUNTIF($E$63:$E$85,$H$9-1)</f>
        <v>8</v>
      </c>
      <c r="I11" s="32">
        <f>+H11/J14</f>
        <v>14.405228758169935</v>
      </c>
    </row>
    <row r="12" spans="1:11" x14ac:dyDescent="0.25">
      <c r="A12" s="19" t="s">
        <v>38</v>
      </c>
      <c r="B12" s="31">
        <f t="shared" si="0"/>
        <v>0.09</v>
      </c>
      <c r="C12" s="23">
        <v>0.2</v>
      </c>
      <c r="D12" s="23"/>
      <c r="E12" s="23">
        <v>0.09</v>
      </c>
      <c r="G12" s="26" t="s">
        <v>104</v>
      </c>
      <c r="H12" s="9">
        <f>+COUNTIF($E$63:$E$85,$H$9-2)</f>
        <v>0</v>
      </c>
      <c r="I12" s="32">
        <f>+H12/J15</f>
        <v>0</v>
      </c>
    </row>
    <row r="13" spans="1:11" x14ac:dyDescent="0.25">
      <c r="A13" s="19" t="s">
        <v>39</v>
      </c>
      <c r="B13" s="31">
        <f t="shared" si="0"/>
        <v>1</v>
      </c>
      <c r="C13" s="23">
        <v>1</v>
      </c>
      <c r="D13" s="23"/>
      <c r="E13" s="23">
        <v>1</v>
      </c>
      <c r="G13" s="26" t="s">
        <v>105</v>
      </c>
      <c r="H13" s="29">
        <f>+I10/SUM($I$10:$I$12)</f>
        <v>0.21732954545454547</v>
      </c>
      <c r="I13" s="31">
        <f>+IFERROR(H13/H10,"")</f>
        <v>5.4332386363636367E-2</v>
      </c>
      <c r="J13">
        <v>1</v>
      </c>
      <c r="K13">
        <f>+SUMIF('Base Data'!$N$26:$N$57,$H$9,'Base Data'!$P$26:$P$57)/4</f>
        <v>1</v>
      </c>
    </row>
    <row r="14" spans="1:11" x14ac:dyDescent="0.25">
      <c r="A14" s="19" t="s">
        <v>187</v>
      </c>
      <c r="B14" s="31">
        <f t="shared" si="0"/>
        <v>0.25</v>
      </c>
      <c r="C14" s="23">
        <v>0.25</v>
      </c>
      <c r="D14" s="23"/>
      <c r="E14" s="23">
        <v>0.25</v>
      </c>
      <c r="G14" s="26" t="s">
        <v>106</v>
      </c>
      <c r="H14" s="29">
        <f>+I11/SUM($I$10:$I$12)</f>
        <v>0.78267045454545459</v>
      </c>
      <c r="I14" s="31">
        <f>+IFERROR(H14/H11,"")</f>
        <v>9.7833806818181823E-2</v>
      </c>
      <c r="J14">
        <f>+K14/$K$13</f>
        <v>0.55535390199637025</v>
      </c>
      <c r="K14" s="5">
        <f>+SUMIF('Base Data'!$N$26:$N$57,$H$9-1,'Base Data'!$P$26:$P$57)/4</f>
        <v>0.55535390199637025</v>
      </c>
    </row>
    <row r="15" spans="1:11" x14ac:dyDescent="0.25">
      <c r="A15" s="19" t="s">
        <v>40</v>
      </c>
      <c r="B15" s="31">
        <f t="shared" si="0"/>
        <v>0.25</v>
      </c>
      <c r="C15" s="23">
        <v>0.25</v>
      </c>
      <c r="D15" s="23"/>
      <c r="E15" s="23">
        <v>0.25</v>
      </c>
      <c r="G15" s="26" t="s">
        <v>107</v>
      </c>
      <c r="H15" s="29">
        <f>+I12/SUM($I$10:$I$12)</f>
        <v>0</v>
      </c>
      <c r="I15" s="29" t="str">
        <f>+IFERROR(H15/H12,"")</f>
        <v/>
      </c>
      <c r="J15">
        <f>+K15/$K$13</f>
        <v>0.30852994555353902</v>
      </c>
      <c r="K15" s="5">
        <f>+SUMIF('Base Data'!$N$26:$N$57,$H$9-2,'Base Data'!$P$26:$P$57)/4</f>
        <v>0.30852994555353902</v>
      </c>
    </row>
    <row r="16" spans="1:11" x14ac:dyDescent="0.25">
      <c r="A16" s="19" t="s">
        <v>31</v>
      </c>
      <c r="B16" s="24">
        <f t="shared" si="0"/>
        <v>14.664999999999999</v>
      </c>
      <c r="C16" s="24">
        <f>SUM(C3:C15)</f>
        <v>22.825000000000003</v>
      </c>
      <c r="D16" s="24">
        <f>SUM(D3:D15)</f>
        <v>0</v>
      </c>
      <c r="E16" s="24">
        <f>SUM(E3:E15)</f>
        <v>14.664999999999999</v>
      </c>
      <c r="G16" s="26" t="s">
        <v>108</v>
      </c>
      <c r="H16" s="9">
        <f>+COUNTIF($H$10:$H$12,"&lt;&gt;0")</f>
        <v>2</v>
      </c>
      <c r="I16" s="33">
        <f>+IF(E63=$H$9,1,IF(H9-E63=1,2,3))</f>
        <v>2</v>
      </c>
    </row>
    <row r="17" spans="1:16" x14ac:dyDescent="0.25">
      <c r="A17" s="19" t="s">
        <v>76</v>
      </c>
      <c r="B17" s="31">
        <f t="shared" si="0"/>
        <v>1</v>
      </c>
      <c r="C17" s="23">
        <v>1</v>
      </c>
      <c r="D17" s="23"/>
      <c r="E17" s="23">
        <v>1</v>
      </c>
      <c r="G17" s="26" t="s">
        <v>177</v>
      </c>
      <c r="H17" s="27">
        <f>+H4*F63/G63*CHOOSE(H16,I13,I14,I15)*IF(E63=H9-H16+1,1,IF(E63=H9-H16+2,0.55,0.3025))</f>
        <v>3061137429.4921875</v>
      </c>
    </row>
    <row r="18" spans="1:16" x14ac:dyDescent="0.25">
      <c r="A18" s="19" t="s">
        <v>43</v>
      </c>
      <c r="B18" s="31" t="str">
        <f t="shared" si="0"/>
        <v>ON</v>
      </c>
      <c r="C18" s="20" t="s">
        <v>44</v>
      </c>
      <c r="D18" s="20"/>
      <c r="E18" s="20" t="s">
        <v>44</v>
      </c>
      <c r="G18" s="26"/>
    </row>
    <row r="19" spans="1:16" x14ac:dyDescent="0.25">
      <c r="A19" s="19" t="s">
        <v>78</v>
      </c>
      <c r="B19" s="31">
        <f t="shared" si="0"/>
        <v>0</v>
      </c>
      <c r="C19" s="23">
        <v>0</v>
      </c>
      <c r="D19" s="23"/>
      <c r="E19" s="23">
        <v>0</v>
      </c>
      <c r="G19" s="26" t="s">
        <v>161</v>
      </c>
      <c r="H19" s="38" t="str">
        <f>+IF(SUM(K63:K85)&gt;0,"Error","All OK")</f>
        <v>All OK</v>
      </c>
    </row>
    <row r="20" spans="1:16" x14ac:dyDescent="0.25">
      <c r="A20" s="19" t="s">
        <v>79</v>
      </c>
      <c r="B20" s="31">
        <f t="shared" si="0"/>
        <v>0</v>
      </c>
      <c r="C20" s="23">
        <v>0</v>
      </c>
      <c r="D20" s="23"/>
      <c r="E20" s="23">
        <v>0</v>
      </c>
      <c r="P20">
        <v>384</v>
      </c>
    </row>
    <row r="21" spans="1:16" x14ac:dyDescent="0.25">
      <c r="A21" s="19" t="s">
        <v>80</v>
      </c>
      <c r="B21" s="31">
        <f t="shared" si="0"/>
        <v>0</v>
      </c>
      <c r="C21" s="23">
        <f>380%+280%+3*128%</f>
        <v>10.44</v>
      </c>
      <c r="D21" s="23"/>
      <c r="E21" s="23">
        <v>0</v>
      </c>
      <c r="G21" s="6" t="s">
        <v>96</v>
      </c>
      <c r="H21" s="1">
        <v>-1</v>
      </c>
      <c r="I21" t="s">
        <v>179</v>
      </c>
      <c r="J21" s="21">
        <f>+IF(E21&gt;0,$H$24,$H$23)</f>
        <v>1E-4</v>
      </c>
      <c r="P21">
        <v>380</v>
      </c>
    </row>
    <row r="22" spans="1:16" x14ac:dyDescent="0.25">
      <c r="A22" s="19" t="s">
        <v>82</v>
      </c>
      <c r="B22" s="31">
        <f t="shared" si="0"/>
        <v>0</v>
      </c>
      <c r="C22" s="23">
        <v>0</v>
      </c>
      <c r="D22" s="23"/>
      <c r="E22" s="23">
        <v>0</v>
      </c>
      <c r="G22" t="s">
        <v>159</v>
      </c>
      <c r="H22" s="21">
        <v>1E-4</v>
      </c>
      <c r="I22" t="s">
        <v>188</v>
      </c>
      <c r="J22" s="21">
        <f>+IF(E22&gt;0,$H$24,$H$23)</f>
        <v>1E-4</v>
      </c>
      <c r="P22">
        <v>280</v>
      </c>
    </row>
    <row r="23" spans="1:16" x14ac:dyDescent="0.25">
      <c r="A23" s="19" t="s">
        <v>83</v>
      </c>
      <c r="B23" s="31">
        <f t="shared" si="0"/>
        <v>0</v>
      </c>
      <c r="C23" s="23">
        <v>0</v>
      </c>
      <c r="D23" s="23"/>
      <c r="E23" s="23">
        <v>0</v>
      </c>
      <c r="G23" t="s">
        <v>158</v>
      </c>
      <c r="H23" s="21">
        <v>1E-4</v>
      </c>
      <c r="I23" t="s">
        <v>189</v>
      </c>
      <c r="J23" s="21">
        <f>+IF(E23&gt;0,$H$24,$H$23)</f>
        <v>1E-4</v>
      </c>
      <c r="P23">
        <v>261</v>
      </c>
    </row>
    <row r="24" spans="1:16" x14ac:dyDescent="0.25">
      <c r="A24" s="19" t="s">
        <v>81</v>
      </c>
      <c r="B24" s="31">
        <f t="shared" si="0"/>
        <v>0</v>
      </c>
      <c r="C24" s="23">
        <v>0</v>
      </c>
      <c r="D24" s="23"/>
      <c r="E24" s="23">
        <v>0</v>
      </c>
      <c r="G24" t="s">
        <v>191</v>
      </c>
      <c r="H24" s="21">
        <v>0.01</v>
      </c>
      <c r="I24" s="4" t="s">
        <v>190</v>
      </c>
      <c r="J24" s="21">
        <f>+IF(E24&gt;0,$H$24,$H$23)</f>
        <v>1E-4</v>
      </c>
      <c r="P24">
        <f>SUM(P20:P23)</f>
        <v>1305</v>
      </c>
    </row>
    <row r="25" spans="1:16" x14ac:dyDescent="0.25">
      <c r="I25" s="4"/>
      <c r="J25" s="36"/>
      <c r="K25" s="36"/>
    </row>
    <row r="26" spans="1:16" ht="30" x14ac:dyDescent="0.25">
      <c r="A26" s="25" t="s">
        <v>140</v>
      </c>
      <c r="B26" s="18" t="s">
        <v>92</v>
      </c>
      <c r="C26" s="18" t="s">
        <v>94</v>
      </c>
      <c r="D26" s="18" t="s">
        <v>160</v>
      </c>
      <c r="G26" s="19" t="s">
        <v>125</v>
      </c>
      <c r="H26" s="18" t="s">
        <v>92</v>
      </c>
      <c r="I26" s="7" t="s">
        <v>139</v>
      </c>
      <c r="J26" s="18" t="s">
        <v>160</v>
      </c>
      <c r="K26" s="36"/>
    </row>
    <row r="27" spans="1:16" x14ac:dyDescent="0.25">
      <c r="A27" t="s">
        <v>47</v>
      </c>
      <c r="B27" s="4">
        <f>+SUMIF($B$63:$B$85,A27,$C$63:$C$85)</f>
        <v>600</v>
      </c>
      <c r="C27" s="4">
        <f>+SUMIF($B$63:$B$85,A27,$D$63:$D$85)</f>
        <v>12000</v>
      </c>
      <c r="D27" s="4">
        <f>+SUMIF($B$63:$B$85,A27,$J$63:$J$85)</f>
        <v>10</v>
      </c>
      <c r="E27">
        <f>+B27*10</f>
        <v>6000</v>
      </c>
      <c r="G27" t="s">
        <v>126</v>
      </c>
      <c r="H27" s="33">
        <f t="shared" ref="H27:H38" si="1">+SUMIF($B$89:$B$111,G27,$C$89:$C$111)</f>
        <v>40</v>
      </c>
      <c r="I27" s="4">
        <f t="shared" ref="I27:I38" si="2">+SUMIF($B$89:$B$111,G27,$D$89:$D$111)</f>
        <v>2080</v>
      </c>
      <c r="J27" s="33">
        <f t="shared" ref="J27:J38" si="3">+SUMIF($B$89:$B$111,G27,$J$89:$J$111)</f>
        <v>12</v>
      </c>
      <c r="K27" s="36"/>
    </row>
    <row r="28" spans="1:16" x14ac:dyDescent="0.25">
      <c r="A28" t="s">
        <v>61</v>
      </c>
      <c r="B28" s="4">
        <f t="shared" ref="B28:B58" si="4">+SUMIF($B$63:$B$85,A28,$C$63:$C$85)</f>
        <v>0</v>
      </c>
      <c r="C28" s="4">
        <f t="shared" ref="C28:C58" si="5">+SUMIF($B$63:$B$85,A28,$D$63:$D$85)</f>
        <v>0</v>
      </c>
      <c r="D28" s="4">
        <f t="shared" ref="D28:D58" si="6">+SUMIF($B$63:$B$85,A28,$J$63:$J$85)</f>
        <v>0</v>
      </c>
      <c r="E28">
        <f t="shared" ref="E28:E58" si="7">+B28*10</f>
        <v>0</v>
      </c>
      <c r="G28" t="s">
        <v>127</v>
      </c>
      <c r="H28" s="33">
        <f t="shared" si="1"/>
        <v>40</v>
      </c>
      <c r="I28" s="4">
        <f t="shared" si="2"/>
        <v>2200</v>
      </c>
      <c r="J28" s="33">
        <f t="shared" si="3"/>
        <v>9</v>
      </c>
      <c r="K28" s="36"/>
      <c r="O28">
        <f>16/7.5</f>
        <v>2.1333333333333333</v>
      </c>
    </row>
    <row r="29" spans="1:16" x14ac:dyDescent="0.25">
      <c r="A29" t="s">
        <v>48</v>
      </c>
      <c r="B29" s="4">
        <f t="shared" si="4"/>
        <v>1100</v>
      </c>
      <c r="C29" s="4">
        <f t="shared" si="5"/>
        <v>22000</v>
      </c>
      <c r="D29" s="4">
        <f t="shared" si="6"/>
        <v>6</v>
      </c>
      <c r="E29">
        <f t="shared" si="7"/>
        <v>11000</v>
      </c>
      <c r="G29" t="s">
        <v>128</v>
      </c>
      <c r="H29" s="33">
        <f t="shared" si="1"/>
        <v>40</v>
      </c>
      <c r="I29" s="4">
        <f t="shared" si="2"/>
        <v>2120</v>
      </c>
      <c r="J29" s="33">
        <f t="shared" si="3"/>
        <v>11</v>
      </c>
      <c r="K29" s="36"/>
    </row>
    <row r="30" spans="1:16" x14ac:dyDescent="0.25">
      <c r="A30" t="s">
        <v>62</v>
      </c>
      <c r="B30" s="4">
        <f t="shared" si="4"/>
        <v>1010</v>
      </c>
      <c r="C30" s="4">
        <f t="shared" si="5"/>
        <v>20200</v>
      </c>
      <c r="D30" s="4">
        <f t="shared" si="6"/>
        <v>12</v>
      </c>
      <c r="E30">
        <f t="shared" si="7"/>
        <v>10100</v>
      </c>
      <c r="G30" t="s">
        <v>135</v>
      </c>
      <c r="H30" s="33">
        <f t="shared" si="1"/>
        <v>40</v>
      </c>
      <c r="I30" s="4">
        <f t="shared" si="2"/>
        <v>2160</v>
      </c>
      <c r="J30" s="33">
        <f t="shared" si="3"/>
        <v>10</v>
      </c>
      <c r="K30" s="36"/>
    </row>
    <row r="31" spans="1:16" outlineLevel="1" x14ac:dyDescent="0.25">
      <c r="A31" t="s">
        <v>49</v>
      </c>
      <c r="B31" s="4">
        <f t="shared" si="4"/>
        <v>0</v>
      </c>
      <c r="C31" s="4">
        <f t="shared" si="5"/>
        <v>0</v>
      </c>
      <c r="D31" s="4">
        <f t="shared" si="6"/>
        <v>0</v>
      </c>
      <c r="E31">
        <f t="shared" si="7"/>
        <v>0</v>
      </c>
      <c r="G31" t="s">
        <v>129</v>
      </c>
      <c r="H31" s="33">
        <f t="shared" si="1"/>
        <v>80</v>
      </c>
      <c r="I31" s="4">
        <f t="shared" si="2"/>
        <v>4160</v>
      </c>
      <c r="J31" s="33">
        <f t="shared" si="3"/>
        <v>8</v>
      </c>
      <c r="K31" s="36"/>
    </row>
    <row r="32" spans="1:16" outlineLevel="1" x14ac:dyDescent="0.25">
      <c r="A32" t="s">
        <v>63</v>
      </c>
      <c r="B32" s="4">
        <f t="shared" si="4"/>
        <v>0</v>
      </c>
      <c r="C32" s="4">
        <f t="shared" si="5"/>
        <v>0</v>
      </c>
      <c r="D32" s="4">
        <f t="shared" si="6"/>
        <v>0</v>
      </c>
      <c r="E32">
        <f t="shared" si="7"/>
        <v>0</v>
      </c>
      <c r="G32" t="s">
        <v>130</v>
      </c>
      <c r="H32" s="33">
        <f t="shared" si="1"/>
        <v>80</v>
      </c>
      <c r="I32" s="4">
        <f t="shared" si="2"/>
        <v>4400</v>
      </c>
      <c r="J32" s="33">
        <f t="shared" si="3"/>
        <v>5</v>
      </c>
      <c r="K32" s="36"/>
    </row>
    <row r="33" spans="1:19" outlineLevel="1" x14ac:dyDescent="0.25">
      <c r="A33" t="s">
        <v>53</v>
      </c>
      <c r="B33" s="4">
        <f t="shared" si="4"/>
        <v>0</v>
      </c>
      <c r="C33" s="4">
        <f t="shared" si="5"/>
        <v>0</v>
      </c>
      <c r="D33" s="4">
        <f t="shared" si="6"/>
        <v>0</v>
      </c>
      <c r="E33">
        <f t="shared" si="7"/>
        <v>0</v>
      </c>
      <c r="G33" t="s">
        <v>131</v>
      </c>
      <c r="H33" s="33">
        <f t="shared" si="1"/>
        <v>80</v>
      </c>
      <c r="I33" s="4">
        <f t="shared" si="2"/>
        <v>4240</v>
      </c>
      <c r="J33" s="33">
        <f t="shared" si="3"/>
        <v>7</v>
      </c>
      <c r="K33" s="36"/>
    </row>
    <row r="34" spans="1:19" outlineLevel="1" x14ac:dyDescent="0.25">
      <c r="A34" t="s">
        <v>57</v>
      </c>
      <c r="B34" s="4">
        <f t="shared" si="4"/>
        <v>0</v>
      </c>
      <c r="C34" s="4">
        <f t="shared" si="5"/>
        <v>0</v>
      </c>
      <c r="D34" s="4">
        <f t="shared" si="6"/>
        <v>0</v>
      </c>
      <c r="E34">
        <f t="shared" si="7"/>
        <v>0</v>
      </c>
      <c r="G34" t="s">
        <v>136</v>
      </c>
      <c r="H34" s="33">
        <f t="shared" si="1"/>
        <v>80</v>
      </c>
      <c r="I34" s="4">
        <f t="shared" si="2"/>
        <v>4320</v>
      </c>
      <c r="J34" s="33">
        <f t="shared" si="3"/>
        <v>6</v>
      </c>
      <c r="K34" s="36"/>
    </row>
    <row r="35" spans="1:19" x14ac:dyDescent="0.25">
      <c r="A35" t="s">
        <v>8</v>
      </c>
      <c r="B35" s="4">
        <f t="shared" si="4"/>
        <v>6100</v>
      </c>
      <c r="C35" s="4">
        <f t="shared" si="5"/>
        <v>12200</v>
      </c>
      <c r="D35" s="4">
        <f t="shared" si="6"/>
        <v>9</v>
      </c>
      <c r="E35">
        <f t="shared" si="7"/>
        <v>61000</v>
      </c>
      <c r="G35" t="s">
        <v>132</v>
      </c>
      <c r="H35" s="33">
        <f t="shared" si="1"/>
        <v>190</v>
      </c>
      <c r="I35" s="4">
        <f t="shared" si="2"/>
        <v>8170</v>
      </c>
      <c r="J35" s="33">
        <f t="shared" si="3"/>
        <v>4</v>
      </c>
      <c r="K35" s="36"/>
    </row>
    <row r="36" spans="1:19" x14ac:dyDescent="0.25">
      <c r="A36" t="s">
        <v>9</v>
      </c>
      <c r="B36" s="4">
        <f t="shared" si="4"/>
        <v>0</v>
      </c>
      <c r="C36" s="4">
        <f t="shared" si="5"/>
        <v>0</v>
      </c>
      <c r="D36" s="4">
        <f t="shared" si="6"/>
        <v>0</v>
      </c>
      <c r="E36">
        <f t="shared" si="7"/>
        <v>0</v>
      </c>
      <c r="G36" t="s">
        <v>133</v>
      </c>
      <c r="H36" s="33">
        <f t="shared" si="1"/>
        <v>190</v>
      </c>
      <c r="I36" s="4">
        <f t="shared" si="2"/>
        <v>7790</v>
      </c>
      <c r="J36" s="33">
        <f t="shared" si="3"/>
        <v>1</v>
      </c>
      <c r="K36" s="36"/>
    </row>
    <row r="37" spans="1:19" x14ac:dyDescent="0.25">
      <c r="A37" t="s">
        <v>10</v>
      </c>
      <c r="B37" s="4">
        <f t="shared" si="4"/>
        <v>11070</v>
      </c>
      <c r="C37" s="4">
        <f t="shared" si="5"/>
        <v>22140</v>
      </c>
      <c r="D37" s="4">
        <f t="shared" si="6"/>
        <v>5</v>
      </c>
      <c r="E37">
        <f t="shared" si="7"/>
        <v>110700</v>
      </c>
      <c r="G37" t="s">
        <v>134</v>
      </c>
      <c r="H37" s="33">
        <f t="shared" si="1"/>
        <v>200</v>
      </c>
      <c r="I37" s="4">
        <f t="shared" si="2"/>
        <v>8200</v>
      </c>
      <c r="J37" s="33">
        <f t="shared" si="3"/>
        <v>3</v>
      </c>
      <c r="K37" s="36"/>
    </row>
    <row r="38" spans="1:19" x14ac:dyDescent="0.25">
      <c r="A38" t="s">
        <v>11</v>
      </c>
      <c r="B38" s="4">
        <f t="shared" si="4"/>
        <v>11090</v>
      </c>
      <c r="C38" s="4">
        <f t="shared" si="5"/>
        <v>22180</v>
      </c>
      <c r="D38" s="4">
        <f t="shared" si="6"/>
        <v>2</v>
      </c>
      <c r="E38">
        <f t="shared" si="7"/>
        <v>110900</v>
      </c>
      <c r="G38" t="s">
        <v>137</v>
      </c>
      <c r="H38" s="33">
        <f t="shared" si="1"/>
        <v>190</v>
      </c>
      <c r="I38" s="4">
        <f t="shared" si="2"/>
        <v>8360</v>
      </c>
      <c r="J38" s="33">
        <f t="shared" si="3"/>
        <v>2</v>
      </c>
      <c r="K38" s="36"/>
    </row>
    <row r="39" spans="1:19" hidden="1" outlineLevel="1" x14ac:dyDescent="0.25">
      <c r="A39" t="s">
        <v>50</v>
      </c>
      <c r="B39" s="4">
        <f t="shared" si="4"/>
        <v>0</v>
      </c>
      <c r="C39" s="4">
        <f t="shared" si="5"/>
        <v>0</v>
      </c>
      <c r="D39" s="4">
        <f t="shared" si="6"/>
        <v>0</v>
      </c>
      <c r="E39">
        <f t="shared" si="7"/>
        <v>0</v>
      </c>
      <c r="I39" s="4"/>
      <c r="J39" s="36"/>
      <c r="K39" s="36"/>
    </row>
    <row r="40" spans="1:19" hidden="1" outlineLevel="1" x14ac:dyDescent="0.25">
      <c r="A40" t="s">
        <v>64</v>
      </c>
      <c r="B40" s="4">
        <f t="shared" si="4"/>
        <v>0</v>
      </c>
      <c r="C40" s="4">
        <f t="shared" si="5"/>
        <v>0</v>
      </c>
      <c r="D40" s="4">
        <f t="shared" si="6"/>
        <v>0</v>
      </c>
      <c r="E40">
        <f t="shared" si="7"/>
        <v>0</v>
      </c>
      <c r="I40" s="4"/>
      <c r="J40" s="36"/>
      <c r="K40" s="36"/>
    </row>
    <row r="41" spans="1:19" hidden="1" outlineLevel="1" x14ac:dyDescent="0.25">
      <c r="A41" t="s">
        <v>54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>
        <f t="shared" si="7"/>
        <v>0</v>
      </c>
      <c r="I41" s="4"/>
      <c r="J41" s="36"/>
      <c r="K41" s="36"/>
    </row>
    <row r="42" spans="1:19" hidden="1" outlineLevel="1" x14ac:dyDescent="0.25">
      <c r="A42" t="s">
        <v>58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>
        <f t="shared" si="7"/>
        <v>0</v>
      </c>
      <c r="I42" s="4"/>
      <c r="J42" s="36"/>
      <c r="K42" s="36"/>
    </row>
    <row r="43" spans="1:19" collapsed="1" x14ac:dyDescent="0.25">
      <c r="A43" t="s">
        <v>22</v>
      </c>
      <c r="B43" s="4">
        <f t="shared" si="4"/>
        <v>11990</v>
      </c>
      <c r="C43" s="4">
        <f t="shared" si="5"/>
        <v>11990</v>
      </c>
      <c r="D43" s="4">
        <f t="shared" si="6"/>
        <v>11</v>
      </c>
      <c r="E43">
        <f t="shared" si="7"/>
        <v>119900</v>
      </c>
      <c r="I43" s="4"/>
      <c r="J43" s="36"/>
      <c r="K43" s="36"/>
    </row>
    <row r="44" spans="1:19" x14ac:dyDescent="0.25">
      <c r="A44" t="s">
        <v>35</v>
      </c>
      <c r="B44" s="4">
        <f t="shared" si="4"/>
        <v>12210</v>
      </c>
      <c r="C44" s="4">
        <f t="shared" si="5"/>
        <v>12210</v>
      </c>
      <c r="D44" s="4">
        <f t="shared" si="6"/>
        <v>8</v>
      </c>
      <c r="E44">
        <f t="shared" si="7"/>
        <v>122100</v>
      </c>
      <c r="I44" s="4"/>
      <c r="J44" s="36"/>
      <c r="K44" s="36"/>
    </row>
    <row r="45" spans="1:19" x14ac:dyDescent="0.25">
      <c r="A45" t="s">
        <v>23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>
        <f t="shared" si="7"/>
        <v>0</v>
      </c>
      <c r="I45" s="4"/>
      <c r="J45" s="36"/>
      <c r="K45" s="36"/>
    </row>
    <row r="46" spans="1:19" x14ac:dyDescent="0.25">
      <c r="A46" t="s">
        <v>26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>
        <f t="shared" si="7"/>
        <v>0</v>
      </c>
      <c r="I46" s="4"/>
      <c r="J46" s="36"/>
      <c r="K46" s="36"/>
    </row>
    <row r="47" spans="1:19" x14ac:dyDescent="0.25">
      <c r="A47" t="s">
        <v>24</v>
      </c>
      <c r="B47" s="4">
        <f t="shared" si="4"/>
        <v>21990</v>
      </c>
      <c r="C47" s="4">
        <f t="shared" si="5"/>
        <v>21990</v>
      </c>
      <c r="D47" s="4">
        <f t="shared" si="6"/>
        <v>7</v>
      </c>
      <c r="E47">
        <f t="shared" si="7"/>
        <v>219900</v>
      </c>
      <c r="K47" s="36"/>
    </row>
    <row r="48" spans="1:19" x14ac:dyDescent="0.25">
      <c r="A48" t="s">
        <v>12</v>
      </c>
      <c r="B48" s="4">
        <f t="shared" si="4"/>
        <v>22160</v>
      </c>
      <c r="C48" s="4">
        <f t="shared" si="5"/>
        <v>22160</v>
      </c>
      <c r="D48" s="4">
        <f t="shared" si="6"/>
        <v>4</v>
      </c>
      <c r="E48">
        <f t="shared" si="7"/>
        <v>221600</v>
      </c>
      <c r="K48" s="36"/>
      <c r="O48" s="9"/>
      <c r="P48" s="9"/>
      <c r="Q48" s="9"/>
      <c r="R48" s="9"/>
      <c r="S48" s="9"/>
    </row>
    <row r="49" spans="1:19" x14ac:dyDescent="0.25">
      <c r="A49" t="s">
        <v>25</v>
      </c>
      <c r="B49" s="4">
        <f t="shared" si="4"/>
        <v>22170</v>
      </c>
      <c r="C49" s="4">
        <f t="shared" si="5"/>
        <v>22170</v>
      </c>
      <c r="D49" s="4">
        <f t="shared" si="6"/>
        <v>3</v>
      </c>
      <c r="E49">
        <f t="shared" si="7"/>
        <v>221700</v>
      </c>
      <c r="K49" s="36"/>
      <c r="O49" s="9"/>
      <c r="P49" s="9"/>
      <c r="Q49" s="9"/>
      <c r="R49" s="9"/>
      <c r="S49" s="9"/>
    </row>
    <row r="50" spans="1:19" x14ac:dyDescent="0.25">
      <c r="A50" t="s">
        <v>13</v>
      </c>
      <c r="B50" s="4">
        <f t="shared" si="4"/>
        <v>22200</v>
      </c>
      <c r="C50" s="4">
        <f t="shared" si="5"/>
        <v>22200</v>
      </c>
      <c r="D50" s="4">
        <f t="shared" si="6"/>
        <v>1</v>
      </c>
      <c r="E50">
        <f t="shared" si="7"/>
        <v>222000</v>
      </c>
      <c r="J50" s="4"/>
      <c r="K50" s="36"/>
      <c r="O50" s="9"/>
      <c r="P50" s="9"/>
      <c r="Q50" s="9"/>
      <c r="R50" s="9"/>
      <c r="S50" s="9"/>
    </row>
    <row r="51" spans="1:19" hidden="1" outlineLevel="1" x14ac:dyDescent="0.25">
      <c r="A51" t="s">
        <v>51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>
        <f t="shared" si="7"/>
        <v>0</v>
      </c>
      <c r="I51" s="4"/>
      <c r="K51" s="36"/>
      <c r="O51" s="9"/>
      <c r="P51" s="9"/>
      <c r="Q51" s="9"/>
      <c r="R51" s="9"/>
      <c r="S51" s="9"/>
    </row>
    <row r="52" spans="1:19" hidden="1" outlineLevel="1" x14ac:dyDescent="0.25">
      <c r="A52" t="s">
        <v>52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>
        <f t="shared" si="7"/>
        <v>0</v>
      </c>
      <c r="I52" s="4"/>
      <c r="K52" s="36"/>
      <c r="O52" s="9"/>
      <c r="P52" s="9"/>
      <c r="Q52" s="9"/>
      <c r="R52" s="9"/>
      <c r="S52" s="9"/>
    </row>
    <row r="53" spans="1:19" hidden="1" outlineLevel="1" x14ac:dyDescent="0.25">
      <c r="A53" t="s">
        <v>65</v>
      </c>
      <c r="B53" s="4">
        <f t="shared" si="4"/>
        <v>0</v>
      </c>
      <c r="C53" s="4">
        <f t="shared" si="5"/>
        <v>0</v>
      </c>
      <c r="D53" s="4">
        <f t="shared" si="6"/>
        <v>0</v>
      </c>
      <c r="E53">
        <f t="shared" si="7"/>
        <v>0</v>
      </c>
      <c r="I53" s="4"/>
      <c r="K53" s="36"/>
      <c r="O53" s="9"/>
      <c r="P53" s="9"/>
      <c r="Q53" s="9"/>
      <c r="R53" s="9"/>
      <c r="S53" s="9"/>
    </row>
    <row r="54" spans="1:19" hidden="1" outlineLevel="1" x14ac:dyDescent="0.25">
      <c r="A54" t="s">
        <v>66</v>
      </c>
      <c r="B54" s="4">
        <f t="shared" si="4"/>
        <v>0</v>
      </c>
      <c r="C54" s="4">
        <f t="shared" si="5"/>
        <v>0</v>
      </c>
      <c r="D54" s="4">
        <f t="shared" si="6"/>
        <v>0</v>
      </c>
      <c r="E54">
        <f t="shared" si="7"/>
        <v>0</v>
      </c>
      <c r="I54" s="4"/>
      <c r="K54" s="36"/>
      <c r="O54" s="9"/>
      <c r="P54" s="9"/>
      <c r="Q54" s="9"/>
      <c r="R54" s="9"/>
      <c r="S54" s="9"/>
    </row>
    <row r="55" spans="1:19" hidden="1" outlineLevel="1" x14ac:dyDescent="0.25">
      <c r="A55" t="s">
        <v>55</v>
      </c>
      <c r="B55" s="4">
        <f t="shared" si="4"/>
        <v>0</v>
      </c>
      <c r="C55" s="4">
        <f t="shared" si="5"/>
        <v>0</v>
      </c>
      <c r="D55" s="4">
        <f t="shared" si="6"/>
        <v>0</v>
      </c>
      <c r="E55">
        <f t="shared" si="7"/>
        <v>0</v>
      </c>
      <c r="I55" s="4"/>
      <c r="K55" s="36"/>
      <c r="O55" s="9"/>
      <c r="P55" s="9"/>
      <c r="Q55" s="9"/>
      <c r="R55" s="9"/>
      <c r="S55" s="9"/>
    </row>
    <row r="56" spans="1:19" hidden="1" outlineLevel="1" x14ac:dyDescent="0.25">
      <c r="A56" t="s">
        <v>56</v>
      </c>
      <c r="B56" s="4">
        <f t="shared" si="4"/>
        <v>0</v>
      </c>
      <c r="C56" s="4">
        <f t="shared" si="5"/>
        <v>0</v>
      </c>
      <c r="D56" s="4">
        <f t="shared" si="6"/>
        <v>0</v>
      </c>
      <c r="E56">
        <f t="shared" si="7"/>
        <v>0</v>
      </c>
      <c r="I56" s="4"/>
      <c r="K56" s="36"/>
      <c r="O56" s="9"/>
      <c r="P56" s="9"/>
      <c r="Q56" s="9"/>
      <c r="R56" s="9"/>
      <c r="S56" s="9"/>
    </row>
    <row r="57" spans="1:19" hidden="1" outlineLevel="1" x14ac:dyDescent="0.25">
      <c r="A57" t="s">
        <v>59</v>
      </c>
      <c r="B57" s="4">
        <f t="shared" si="4"/>
        <v>0</v>
      </c>
      <c r="C57" s="4">
        <f t="shared" si="5"/>
        <v>0</v>
      </c>
      <c r="D57" s="4">
        <f t="shared" si="6"/>
        <v>0</v>
      </c>
      <c r="E57">
        <f t="shared" si="7"/>
        <v>0</v>
      </c>
      <c r="I57" s="4"/>
      <c r="K57" s="36"/>
      <c r="O57" s="9"/>
      <c r="P57" s="9"/>
      <c r="Q57" s="9"/>
      <c r="R57" s="9"/>
      <c r="S57" s="9"/>
    </row>
    <row r="58" spans="1:19" hidden="1" outlineLevel="1" x14ac:dyDescent="0.25">
      <c r="A58" t="s">
        <v>60</v>
      </c>
      <c r="B58" s="4">
        <f t="shared" si="4"/>
        <v>0</v>
      </c>
      <c r="C58" s="4">
        <f t="shared" si="5"/>
        <v>0</v>
      </c>
      <c r="D58" s="4">
        <f t="shared" si="6"/>
        <v>0</v>
      </c>
      <c r="E58">
        <f t="shared" si="7"/>
        <v>0</v>
      </c>
      <c r="I58" s="4"/>
      <c r="K58" s="36"/>
      <c r="O58" s="9"/>
      <c r="P58" s="9"/>
      <c r="Q58" s="9"/>
      <c r="R58" s="9"/>
      <c r="S58" s="9"/>
    </row>
    <row r="59" spans="1:19" collapsed="1" x14ac:dyDescent="0.25">
      <c r="B59" s="4"/>
      <c r="C59" s="4"/>
      <c r="I59" s="4"/>
      <c r="J59" s="4"/>
      <c r="K59" s="36"/>
      <c r="O59" s="9"/>
      <c r="P59" s="9"/>
      <c r="Q59" s="9"/>
      <c r="R59" s="9"/>
      <c r="S59" s="9"/>
    </row>
    <row r="60" spans="1:19" x14ac:dyDescent="0.25">
      <c r="A60" s="6" t="s">
        <v>93</v>
      </c>
      <c r="B60" s="7">
        <f>SUM(B27:B59)</f>
        <v>143690</v>
      </c>
      <c r="C60" s="7">
        <f>SUM(C27:C59)</f>
        <v>223440</v>
      </c>
      <c r="G60" s="6" t="s">
        <v>93</v>
      </c>
      <c r="H60" s="27">
        <f>SUM(H27:H59)</f>
        <v>1250</v>
      </c>
      <c r="I60" s="27">
        <f>SUM(I27:I59)</f>
        <v>58200</v>
      </c>
      <c r="J60" s="4"/>
      <c r="M60" s="6" t="s">
        <v>145</v>
      </c>
      <c r="N60" s="6"/>
      <c r="O60" s="6" t="s">
        <v>147</v>
      </c>
      <c r="P60" s="6" t="s">
        <v>146</v>
      </c>
      <c r="Q60" s="14" t="s">
        <v>148</v>
      </c>
      <c r="R60" s="6" t="s">
        <v>180</v>
      </c>
      <c r="S60" s="6" t="s">
        <v>181</v>
      </c>
    </row>
    <row r="61" spans="1:19" x14ac:dyDescent="0.25">
      <c r="H61" s="5"/>
      <c r="M61" s="1">
        <v>1</v>
      </c>
      <c r="O61" s="9">
        <v>1</v>
      </c>
      <c r="P61" s="9">
        <v>2</v>
      </c>
      <c r="Q61" s="9">
        <v>3</v>
      </c>
      <c r="R61" s="9">
        <v>4</v>
      </c>
      <c r="S61" s="9">
        <v>5</v>
      </c>
    </row>
    <row r="62" spans="1:19" ht="30" x14ac:dyDescent="0.25">
      <c r="A62" s="42" t="s">
        <v>140</v>
      </c>
      <c r="B62" s="42"/>
      <c r="C62" s="18" t="s">
        <v>92</v>
      </c>
      <c r="D62" s="18" t="s">
        <v>94</v>
      </c>
      <c r="E62" t="s">
        <v>155</v>
      </c>
      <c r="F62" s="18" t="s">
        <v>91</v>
      </c>
      <c r="G62" s="18" t="s">
        <v>98</v>
      </c>
      <c r="H62" s="18" t="s">
        <v>99</v>
      </c>
      <c r="I62" s="18" t="s">
        <v>100</v>
      </c>
      <c r="J62" s="37" t="s">
        <v>160</v>
      </c>
      <c r="K62" s="9"/>
      <c r="L62" s="13" t="s">
        <v>178</v>
      </c>
      <c r="M62" s="6" t="s">
        <v>140</v>
      </c>
    </row>
    <row r="63" spans="1:19" x14ac:dyDescent="0.25">
      <c r="A63" s="9">
        <v>1</v>
      </c>
      <c r="B63" t="str">
        <f t="shared" ref="B63:B85" si="8">+M63</f>
        <v>S8 Melee</v>
      </c>
      <c r="C63" s="4">
        <f t="shared" ref="C63:C85" si="9">+IFERROR(ROUNDDOWN(H63/F63,$H$21),"")</f>
        <v>22200</v>
      </c>
      <c r="D63" s="4">
        <f t="shared" ref="D63:D85" si="10">+IFERROR(C63*G63,"")</f>
        <v>22200</v>
      </c>
      <c r="E63" s="33">
        <f>+SUMIF('Base Data'!$A:$A,B63,'Base Data'!N:N)</f>
        <v>8</v>
      </c>
      <c r="F63" s="33">
        <f>+SUMIF('Base Data'!$A:$A,B63,'Base Data'!M:M)</f>
        <v>137837.69999999998</v>
      </c>
      <c r="G63" s="9">
        <f>+SUMIF('Base Data'!A:A,B63,'Base Data'!C:C)</f>
        <v>1</v>
      </c>
      <c r="H63" s="4">
        <f>+IF(A63=0,"",IF(A63=1,$H$17,I62*(1-$H$23)))</f>
        <v>3061137429.4921875</v>
      </c>
      <c r="I63" s="4">
        <f t="shared" ref="I63:I85" si="11">+IFERROR(C63*F63,"")</f>
        <v>3059996939.9999995</v>
      </c>
      <c r="J63">
        <f>+IFERROR(RANK(I63,$I$63:$I$78),"")</f>
        <v>1</v>
      </c>
      <c r="K63" t="str">
        <f t="shared" ref="K63:K78" si="12">+IF(OR(J63=A63,J63=""),"",1)</f>
        <v/>
      </c>
      <c r="L63" s="3">
        <f t="shared" ref="L63:L85" si="13">+IF(ISNUMBER(SEARCH("Flyings",B63)),$J$21,IF(ISNUMBER(SEARCH("Mounted",B63)),$J$22,IF(ISNUMBER(SEARCH("Ranged",B63)),$J$23,$J$24)))</f>
        <v>1E-4</v>
      </c>
      <c r="M63" s="9" t="str">
        <f t="shared" ref="M63:M85" si="14">+CHOOSE($M$61,O63,P63,Q63,R63,S63,T63)</f>
        <v>S8 Melee</v>
      </c>
      <c r="O63" s="34" t="s">
        <v>13</v>
      </c>
      <c r="P63" s="34" t="s">
        <v>8</v>
      </c>
      <c r="Q63" s="34" t="s">
        <v>35</v>
      </c>
      <c r="R63" s="34" t="s">
        <v>13</v>
      </c>
      <c r="S63" s="34" t="s">
        <v>52</v>
      </c>
    </row>
    <row r="64" spans="1:19" x14ac:dyDescent="0.25">
      <c r="A64" s="9">
        <f t="shared" ref="A64:A74" si="15">+IF(B64&lt;&gt;0,A63+1,0)</f>
        <v>2</v>
      </c>
      <c r="B64" t="str">
        <f t="shared" si="8"/>
        <v>S8 Mounted</v>
      </c>
      <c r="C64" s="4">
        <f t="shared" si="9"/>
        <v>11090</v>
      </c>
      <c r="D64" s="4">
        <f t="shared" si="10"/>
        <v>22180</v>
      </c>
      <c r="E64" s="33">
        <f>+SUMIF('Base Data'!$A:$A,B64,'Base Data'!N:N)</f>
        <v>8</v>
      </c>
      <c r="F64" s="33">
        <f>+SUMIF('Base Data'!$A:$A,B64,'Base Data'!M:M)</f>
        <v>275675.39999999997</v>
      </c>
      <c r="G64" s="9">
        <f>+SUMIF('Base Data'!A:A,B64,'Base Data'!C:C)</f>
        <v>2</v>
      </c>
      <c r="H64" s="4">
        <f t="shared" ref="H64:H85" si="16">+IF(A64=0,"",IF(A64=1,$H$17,I63*(1-L63)))</f>
        <v>3059690940.3059998</v>
      </c>
      <c r="I64" s="4">
        <f t="shared" si="11"/>
        <v>3057240185.9999995</v>
      </c>
      <c r="J64">
        <f t="shared" ref="J64:J85" si="17">+IFERROR(RANK(I64,$I$63:$I$78),"")</f>
        <v>2</v>
      </c>
      <c r="K64" t="str">
        <f t="shared" si="12"/>
        <v/>
      </c>
      <c r="L64" s="3">
        <f t="shared" si="13"/>
        <v>1E-4</v>
      </c>
      <c r="M64" s="9" t="str">
        <f t="shared" si="14"/>
        <v>S8 Mounted</v>
      </c>
      <c r="O64" s="34" t="s">
        <v>11</v>
      </c>
      <c r="P64" s="34" t="s">
        <v>22</v>
      </c>
      <c r="Q64" s="34" t="s">
        <v>8</v>
      </c>
      <c r="R64" s="34" t="s">
        <v>11</v>
      </c>
      <c r="S64" s="34" t="s">
        <v>50</v>
      </c>
    </row>
    <row r="65" spans="1:19" x14ac:dyDescent="0.25">
      <c r="A65" s="9">
        <f t="shared" si="15"/>
        <v>3</v>
      </c>
      <c r="B65" t="str">
        <f t="shared" si="8"/>
        <v>S8 Ranged</v>
      </c>
      <c r="C65" s="4">
        <f t="shared" si="9"/>
        <v>22170</v>
      </c>
      <c r="D65" s="4">
        <f t="shared" si="10"/>
        <v>22170</v>
      </c>
      <c r="E65" s="33">
        <f>+SUMIF('Base Data'!$A:$A,B65,'Base Data'!N:N)</f>
        <v>8</v>
      </c>
      <c r="F65" s="33">
        <f>+SUMIF('Base Data'!$A:$A,B65,'Base Data'!M:M)</f>
        <v>137837.69999999998</v>
      </c>
      <c r="G65" s="9">
        <f>+SUMIF('Base Data'!A:A,B65,'Base Data'!C:C)</f>
        <v>1</v>
      </c>
      <c r="H65" s="4">
        <f t="shared" si="16"/>
        <v>3056934461.9813995</v>
      </c>
      <c r="I65" s="4">
        <f t="shared" si="11"/>
        <v>3055861808.9999995</v>
      </c>
      <c r="J65">
        <f t="shared" si="17"/>
        <v>3</v>
      </c>
      <c r="K65" t="str">
        <f t="shared" si="12"/>
        <v/>
      </c>
      <c r="L65" s="3">
        <f t="shared" si="13"/>
        <v>1E-4</v>
      </c>
      <c r="M65" s="9" t="str">
        <f t="shared" si="14"/>
        <v>S8 Ranged</v>
      </c>
      <c r="O65" s="34" t="s">
        <v>25</v>
      </c>
      <c r="P65" s="34" t="s">
        <v>47</v>
      </c>
      <c r="Q65" s="34" t="s">
        <v>22</v>
      </c>
      <c r="R65" s="34" t="s">
        <v>25</v>
      </c>
      <c r="S65" s="34" t="s">
        <v>49</v>
      </c>
    </row>
    <row r="66" spans="1:19" x14ac:dyDescent="0.25">
      <c r="A66" s="9">
        <f t="shared" si="15"/>
        <v>4</v>
      </c>
      <c r="B66" t="str">
        <f t="shared" si="8"/>
        <v>G8 Melee</v>
      </c>
      <c r="C66" s="4">
        <f t="shared" si="9"/>
        <v>22160</v>
      </c>
      <c r="D66" s="4">
        <f t="shared" si="10"/>
        <v>22160</v>
      </c>
      <c r="E66" s="33">
        <f>+SUMIF('Base Data'!$A:$A,B66,'Base Data'!N:N)</f>
        <v>8</v>
      </c>
      <c r="F66" s="33">
        <f>+SUMIF('Base Data'!$A:$A,B66,'Base Data'!M:M)</f>
        <v>137837.69999999998</v>
      </c>
      <c r="G66" s="9">
        <f>+SUMIF('Base Data'!A:A,B66,'Base Data'!C:C)</f>
        <v>1</v>
      </c>
      <c r="H66" s="4">
        <f t="shared" si="16"/>
        <v>3055556222.8190994</v>
      </c>
      <c r="I66" s="4">
        <f t="shared" si="11"/>
        <v>3054483431.9999995</v>
      </c>
      <c r="J66">
        <f t="shared" si="17"/>
        <v>4</v>
      </c>
      <c r="K66" t="str">
        <f t="shared" si="12"/>
        <v/>
      </c>
      <c r="L66" s="3">
        <f t="shared" si="13"/>
        <v>1E-4</v>
      </c>
      <c r="M66" s="9" t="str">
        <f t="shared" si="14"/>
        <v>G8 Melee</v>
      </c>
      <c r="O66" s="34" t="s">
        <v>12</v>
      </c>
      <c r="P66" s="34" t="s">
        <v>25</v>
      </c>
      <c r="Q66" s="34" t="s">
        <v>24</v>
      </c>
      <c r="R66" s="34" t="s">
        <v>12</v>
      </c>
      <c r="S66" s="34" t="s">
        <v>51</v>
      </c>
    </row>
    <row r="67" spans="1:19" x14ac:dyDescent="0.25">
      <c r="A67" s="9">
        <f t="shared" si="15"/>
        <v>5</v>
      </c>
      <c r="B67" t="str">
        <f t="shared" si="8"/>
        <v>G8 Mounted</v>
      </c>
      <c r="C67" s="4">
        <f t="shared" si="9"/>
        <v>11070</v>
      </c>
      <c r="D67" s="4">
        <f t="shared" si="10"/>
        <v>22140</v>
      </c>
      <c r="E67" s="33">
        <f>+SUMIF('Base Data'!$A:$A,B67,'Base Data'!N:N)</f>
        <v>8</v>
      </c>
      <c r="F67" s="33">
        <f>+SUMIF('Base Data'!$A:$A,B67,'Base Data'!M:M)</f>
        <v>275675.39999999997</v>
      </c>
      <c r="G67" s="9">
        <f>+SUMIF('Base Data'!A:A,B67,'Base Data'!C:C)</f>
        <v>2</v>
      </c>
      <c r="H67" s="4">
        <f t="shared" si="16"/>
        <v>3054177983.6567998</v>
      </c>
      <c r="I67" s="4">
        <f t="shared" si="11"/>
        <v>3051726677.9999995</v>
      </c>
      <c r="J67">
        <f t="shared" si="17"/>
        <v>5</v>
      </c>
      <c r="K67" t="str">
        <f t="shared" si="12"/>
        <v/>
      </c>
      <c r="L67" s="3">
        <f t="shared" si="13"/>
        <v>1E-4</v>
      </c>
      <c r="M67" s="9" t="str">
        <f t="shared" si="14"/>
        <v>G8 Mounted</v>
      </c>
      <c r="O67" s="34" t="s">
        <v>10</v>
      </c>
      <c r="P67" s="34" t="s">
        <v>62</v>
      </c>
      <c r="Q67" s="34" t="s">
        <v>47</v>
      </c>
      <c r="R67" s="34" t="s">
        <v>10</v>
      </c>
      <c r="S67" s="34" t="s">
        <v>13</v>
      </c>
    </row>
    <row r="68" spans="1:19" x14ac:dyDescent="0.25">
      <c r="A68" s="9">
        <f t="shared" si="15"/>
        <v>6</v>
      </c>
      <c r="B68" t="str">
        <f t="shared" si="8"/>
        <v>G8 Flyings</v>
      </c>
      <c r="C68" s="4">
        <f t="shared" si="9"/>
        <v>1100</v>
      </c>
      <c r="D68" s="4">
        <f t="shared" si="10"/>
        <v>22000</v>
      </c>
      <c r="E68" s="33">
        <f>+SUMIF('Base Data'!$A:$A,B68,'Base Data'!N:N)</f>
        <v>8</v>
      </c>
      <c r="F68" s="33">
        <f>+SUMIF('Base Data'!$A:$A,B68,'Base Data'!M:M)</f>
        <v>2756754</v>
      </c>
      <c r="G68" s="9">
        <f>+SUMIF('Base Data'!A:A,B68,'Base Data'!C:C)</f>
        <v>20</v>
      </c>
      <c r="H68" s="4">
        <f t="shared" si="16"/>
        <v>3051421505.3321996</v>
      </c>
      <c r="I68" s="4">
        <f t="shared" si="11"/>
        <v>3032429400</v>
      </c>
      <c r="J68">
        <f t="shared" si="17"/>
        <v>6</v>
      </c>
      <c r="K68" t="str">
        <f t="shared" si="12"/>
        <v/>
      </c>
      <c r="L68" s="3">
        <f t="shared" si="13"/>
        <v>1E-4</v>
      </c>
      <c r="M68" s="9" t="str">
        <f t="shared" si="14"/>
        <v>G8 Flyings</v>
      </c>
      <c r="O68" s="34" t="s">
        <v>48</v>
      </c>
      <c r="P68" s="34" t="s">
        <v>115</v>
      </c>
      <c r="Q68" s="34" t="s">
        <v>13</v>
      </c>
      <c r="R68" s="34" t="s">
        <v>48</v>
      </c>
      <c r="S68" s="34" t="s">
        <v>11</v>
      </c>
    </row>
    <row r="69" spans="1:19" x14ac:dyDescent="0.25">
      <c r="A69" s="9">
        <f t="shared" si="15"/>
        <v>7</v>
      </c>
      <c r="B69" t="str">
        <f t="shared" si="8"/>
        <v>G8 Ranged</v>
      </c>
      <c r="C69" s="4">
        <f t="shared" si="9"/>
        <v>21990</v>
      </c>
      <c r="D69" s="4">
        <f t="shared" si="10"/>
        <v>21990</v>
      </c>
      <c r="E69" s="33">
        <f>+SUMIF('Base Data'!$A:$A,B69,'Base Data'!N:N)</f>
        <v>8</v>
      </c>
      <c r="F69" s="33">
        <f>+SUMIF('Base Data'!$A:$A,B69,'Base Data'!M:M)</f>
        <v>137837.69999999998</v>
      </c>
      <c r="G69" s="9">
        <f>+SUMIF('Base Data'!A:A,B69,'Base Data'!C:C)</f>
        <v>1</v>
      </c>
      <c r="H69" s="4">
        <f t="shared" si="16"/>
        <v>3032126157.0599999</v>
      </c>
      <c r="I69" s="4">
        <f t="shared" si="11"/>
        <v>3031051022.9999995</v>
      </c>
      <c r="J69">
        <f t="shared" si="17"/>
        <v>7</v>
      </c>
      <c r="K69" t="str">
        <f t="shared" si="12"/>
        <v/>
      </c>
      <c r="L69" s="3">
        <f t="shared" si="13"/>
        <v>1E-4</v>
      </c>
      <c r="M69" s="9" t="str">
        <f t="shared" si="14"/>
        <v>G8 Ranged</v>
      </c>
      <c r="O69" s="34" t="s">
        <v>24</v>
      </c>
      <c r="P69" s="34"/>
      <c r="Q69" s="34" t="s">
        <v>11</v>
      </c>
      <c r="R69" s="34" t="s">
        <v>24</v>
      </c>
      <c r="S69" s="34" t="s">
        <v>25</v>
      </c>
    </row>
    <row r="70" spans="1:19" x14ac:dyDescent="0.25">
      <c r="A70" s="9">
        <f t="shared" si="15"/>
        <v>8</v>
      </c>
      <c r="B70" t="str">
        <f t="shared" si="8"/>
        <v>G9 Melee</v>
      </c>
      <c r="C70" s="4">
        <f t="shared" si="9"/>
        <v>12210</v>
      </c>
      <c r="D70" s="4">
        <f t="shared" si="10"/>
        <v>12210</v>
      </c>
      <c r="E70" s="33">
        <f>+SUMIF('Base Data'!$A:$A,B70,'Base Data'!N:N)</f>
        <v>9</v>
      </c>
      <c r="F70" s="33">
        <f>+SUMIF('Base Data'!$A:$A,B70,'Base Data'!M:M)</f>
        <v>248197.94999999998</v>
      </c>
      <c r="G70" s="9">
        <f>+SUMIF('Base Data'!A:A,B70,'Base Data'!C:C)</f>
        <v>1</v>
      </c>
      <c r="H70" s="4">
        <f t="shared" si="16"/>
        <v>3030747917.8976994</v>
      </c>
      <c r="I70" s="4">
        <f t="shared" si="11"/>
        <v>3030496969.5</v>
      </c>
      <c r="J70">
        <f t="shared" si="17"/>
        <v>8</v>
      </c>
      <c r="K70" t="str">
        <f t="shared" si="12"/>
        <v/>
      </c>
      <c r="L70" s="3">
        <f t="shared" si="13"/>
        <v>1E-4</v>
      </c>
      <c r="M70" s="9" t="str">
        <f t="shared" si="14"/>
        <v>G9 Melee</v>
      </c>
      <c r="O70" s="34" t="s">
        <v>35</v>
      </c>
      <c r="P70" s="34"/>
      <c r="Q70" s="34" t="s">
        <v>25</v>
      </c>
      <c r="R70" s="34" t="s">
        <v>26</v>
      </c>
      <c r="S70" s="34" t="s">
        <v>12</v>
      </c>
    </row>
    <row r="71" spans="1:19" x14ac:dyDescent="0.25">
      <c r="A71" s="9">
        <f t="shared" si="15"/>
        <v>9</v>
      </c>
      <c r="B71" t="str">
        <f t="shared" si="8"/>
        <v>G9 Mounted</v>
      </c>
      <c r="C71" s="4">
        <f t="shared" si="9"/>
        <v>6100</v>
      </c>
      <c r="D71" s="4">
        <f t="shared" si="10"/>
        <v>12200</v>
      </c>
      <c r="E71" s="33">
        <f>+SUMIF('Base Data'!$A:$A,B71,'Base Data'!N:N)</f>
        <v>9</v>
      </c>
      <c r="F71" s="33">
        <f>+SUMIF('Base Data'!$A:$A,B71,'Base Data'!M:M)</f>
        <v>496395.89999999997</v>
      </c>
      <c r="G71" s="9">
        <f>+SUMIF('Base Data'!A:A,B71,'Base Data'!C:C)</f>
        <v>2</v>
      </c>
      <c r="H71" s="4">
        <f t="shared" si="16"/>
        <v>3030193919.80305</v>
      </c>
      <c r="I71" s="4">
        <f t="shared" si="11"/>
        <v>3028014990</v>
      </c>
      <c r="J71">
        <f t="shared" si="17"/>
        <v>9</v>
      </c>
      <c r="K71" t="str">
        <f t="shared" si="12"/>
        <v/>
      </c>
      <c r="L71" s="3">
        <f t="shared" si="13"/>
        <v>1E-4</v>
      </c>
      <c r="M71" s="9" t="str">
        <f t="shared" si="14"/>
        <v>G9 Mounted</v>
      </c>
      <c r="O71" s="34" t="s">
        <v>8</v>
      </c>
      <c r="P71" s="34"/>
      <c r="Q71" s="34" t="s">
        <v>62</v>
      </c>
      <c r="R71" s="34" t="s">
        <v>9</v>
      </c>
      <c r="S71" s="34" t="s">
        <v>10</v>
      </c>
    </row>
    <row r="72" spans="1:19" x14ac:dyDescent="0.25">
      <c r="A72" s="9">
        <f t="shared" si="15"/>
        <v>10</v>
      </c>
      <c r="B72" t="str">
        <f t="shared" si="8"/>
        <v>G9 Flyings</v>
      </c>
      <c r="C72" s="4">
        <f t="shared" si="9"/>
        <v>600</v>
      </c>
      <c r="D72" s="4">
        <f t="shared" si="10"/>
        <v>12000</v>
      </c>
      <c r="E72" s="33">
        <f>+SUMIF('Base Data'!$A:$A,B72,'Base Data'!N:N)</f>
        <v>9</v>
      </c>
      <c r="F72" s="33">
        <f>+SUMIF('Base Data'!$A:$A,B72,'Base Data'!M:M)</f>
        <v>4963959</v>
      </c>
      <c r="G72" s="9">
        <f>+SUMIF('Base Data'!A:A,B72,'Base Data'!C:C)</f>
        <v>20</v>
      </c>
      <c r="H72" s="4">
        <f t="shared" si="16"/>
        <v>3027712188.5009999</v>
      </c>
      <c r="I72" s="4">
        <f t="shared" si="11"/>
        <v>2978375400</v>
      </c>
      <c r="J72">
        <f t="shared" si="17"/>
        <v>10</v>
      </c>
      <c r="K72" t="str">
        <f t="shared" si="12"/>
        <v/>
      </c>
      <c r="L72" s="3">
        <f t="shared" si="13"/>
        <v>1E-4</v>
      </c>
      <c r="M72" s="9" t="str">
        <f t="shared" si="14"/>
        <v>G9 Flyings</v>
      </c>
      <c r="O72" s="34" t="s">
        <v>47</v>
      </c>
      <c r="P72" s="34"/>
      <c r="Q72" s="34"/>
      <c r="R72" s="34" t="s">
        <v>23</v>
      </c>
      <c r="S72" s="34" t="s">
        <v>48</v>
      </c>
    </row>
    <row r="73" spans="1:19" x14ac:dyDescent="0.25">
      <c r="A73" s="9">
        <f t="shared" si="15"/>
        <v>11</v>
      </c>
      <c r="B73" t="str">
        <f t="shared" si="8"/>
        <v>G9 Ranged</v>
      </c>
      <c r="C73" s="4">
        <f t="shared" si="9"/>
        <v>11990</v>
      </c>
      <c r="D73" s="4">
        <f t="shared" si="10"/>
        <v>11990</v>
      </c>
      <c r="E73" s="33">
        <f>+SUMIF('Base Data'!$A:$A,B73,'Base Data'!N:N)</f>
        <v>9</v>
      </c>
      <c r="F73" s="33">
        <f>+SUMIF('Base Data'!$A:$A,B73,'Base Data'!M:M)</f>
        <v>248197.94999999998</v>
      </c>
      <c r="G73" s="9">
        <f>+SUMIF('Base Data'!A:A,B73,'Base Data'!C:C)</f>
        <v>1</v>
      </c>
      <c r="H73" s="4">
        <f t="shared" si="16"/>
        <v>2978077562.46</v>
      </c>
      <c r="I73" s="4">
        <f t="shared" si="11"/>
        <v>2975893420.5</v>
      </c>
      <c r="J73">
        <f t="shared" si="17"/>
        <v>11</v>
      </c>
      <c r="K73" t="str">
        <f t="shared" si="12"/>
        <v/>
      </c>
      <c r="L73" s="3">
        <f t="shared" si="13"/>
        <v>1E-4</v>
      </c>
      <c r="M73" s="9" t="str">
        <f t="shared" si="14"/>
        <v>G9 Ranged</v>
      </c>
      <c r="O73" s="34" t="s">
        <v>22</v>
      </c>
      <c r="P73" s="34"/>
      <c r="Q73" s="34"/>
      <c r="R73" s="34" t="s">
        <v>35</v>
      </c>
      <c r="S73" s="34" t="s">
        <v>24</v>
      </c>
    </row>
    <row r="74" spans="1:19" x14ac:dyDescent="0.25">
      <c r="A74" s="9">
        <f t="shared" si="15"/>
        <v>12</v>
      </c>
      <c r="B74" t="str">
        <f t="shared" si="8"/>
        <v>S8 Flyings</v>
      </c>
      <c r="C74" s="4">
        <f t="shared" si="9"/>
        <v>1010</v>
      </c>
      <c r="D74" s="4">
        <f t="shared" si="10"/>
        <v>20200</v>
      </c>
      <c r="E74" s="33">
        <f>+SUMIF('Base Data'!$A:$A,B74,'Base Data'!N:N)</f>
        <v>8</v>
      </c>
      <c r="F74" s="33">
        <f>+SUMIF('Base Data'!$A:$A,B74,'Base Data'!M:M)</f>
        <v>2940354</v>
      </c>
      <c r="G74" s="9">
        <f>+SUMIF('Base Data'!A:A,B74,'Base Data'!C:C)</f>
        <v>20</v>
      </c>
      <c r="H74" s="4">
        <f t="shared" si="16"/>
        <v>2975595831.1579499</v>
      </c>
      <c r="I74" s="4">
        <f t="shared" si="11"/>
        <v>2969757540</v>
      </c>
      <c r="J74">
        <f t="shared" si="17"/>
        <v>12</v>
      </c>
      <c r="K74" t="str">
        <f t="shared" si="12"/>
        <v/>
      </c>
      <c r="L74" s="3">
        <f t="shared" si="13"/>
        <v>1E-4</v>
      </c>
      <c r="M74" s="9" t="str">
        <f t="shared" si="14"/>
        <v>S8 Flyings</v>
      </c>
      <c r="O74" s="34" t="s">
        <v>62</v>
      </c>
      <c r="P74" s="34"/>
      <c r="Q74" s="34"/>
      <c r="R74" s="34" t="s">
        <v>8</v>
      </c>
      <c r="S74" s="34" t="s">
        <v>62</v>
      </c>
    </row>
    <row r="75" spans="1:19" x14ac:dyDescent="0.25">
      <c r="A75" s="9">
        <f>+IF(B75&lt;&gt;0,A74+1,0)</f>
        <v>0</v>
      </c>
      <c r="B75">
        <f t="shared" si="8"/>
        <v>0</v>
      </c>
      <c r="C75" s="4" t="str">
        <f t="shared" si="9"/>
        <v/>
      </c>
      <c r="D75" s="4" t="str">
        <f t="shared" si="10"/>
        <v/>
      </c>
      <c r="E75" s="33">
        <f>+SUMIF('Base Data'!$A:$A,B75,'Base Data'!N:N)</f>
        <v>0</v>
      </c>
      <c r="F75" s="33">
        <f>+SUMIF('Base Data'!$A:$A,B75,'Base Data'!M:M)</f>
        <v>0</v>
      </c>
      <c r="G75" s="9">
        <f>+SUMIF('Base Data'!A:A,B75,'Base Data'!C:C)</f>
        <v>0</v>
      </c>
      <c r="H75" s="4" t="str">
        <f t="shared" si="16"/>
        <v/>
      </c>
      <c r="I75" s="4" t="str">
        <f t="shared" si="11"/>
        <v/>
      </c>
      <c r="J75" t="str">
        <f t="shared" si="17"/>
        <v/>
      </c>
      <c r="K75" t="str">
        <f t="shared" si="12"/>
        <v/>
      </c>
      <c r="L75" s="3">
        <f t="shared" si="13"/>
        <v>1E-4</v>
      </c>
      <c r="M75" s="9">
        <f t="shared" si="14"/>
        <v>0</v>
      </c>
      <c r="O75" s="34"/>
      <c r="P75" s="34"/>
      <c r="Q75" s="34"/>
      <c r="R75" s="34" t="s">
        <v>47</v>
      </c>
      <c r="S75" s="34"/>
    </row>
    <row r="76" spans="1:19" x14ac:dyDescent="0.25">
      <c r="A76" s="9">
        <f t="shared" ref="A76:A85" si="18">+IF(B76&lt;&gt;0,A75+1,0)</f>
        <v>0</v>
      </c>
      <c r="B76">
        <f t="shared" si="8"/>
        <v>0</v>
      </c>
      <c r="C76" s="4" t="str">
        <f t="shared" si="9"/>
        <v/>
      </c>
      <c r="D76" s="4" t="str">
        <f t="shared" si="10"/>
        <v/>
      </c>
      <c r="E76" s="33">
        <f>+SUMIF('Base Data'!$A:$A,B76,'Base Data'!N:N)</f>
        <v>0</v>
      </c>
      <c r="F76" s="33">
        <f>+SUMIF('Base Data'!$A:$A,B76,'Base Data'!M:M)</f>
        <v>0</v>
      </c>
      <c r="G76" s="9">
        <f>+SUMIF('Base Data'!A:A,B76,'Base Data'!C:C)</f>
        <v>0</v>
      </c>
      <c r="H76" s="4" t="str">
        <f t="shared" si="16"/>
        <v/>
      </c>
      <c r="I76" s="4" t="str">
        <f t="shared" si="11"/>
        <v/>
      </c>
      <c r="J76" t="str">
        <f t="shared" si="17"/>
        <v/>
      </c>
      <c r="K76" t="str">
        <f t="shared" si="12"/>
        <v/>
      </c>
      <c r="L76" s="3">
        <f t="shared" si="13"/>
        <v>1E-4</v>
      </c>
      <c r="M76" s="9">
        <f t="shared" si="14"/>
        <v>0</v>
      </c>
      <c r="O76" s="34"/>
      <c r="P76" s="34"/>
      <c r="Q76" s="34"/>
      <c r="R76" s="34" t="s">
        <v>22</v>
      </c>
      <c r="S76" s="34"/>
    </row>
    <row r="77" spans="1:19" x14ac:dyDescent="0.25">
      <c r="A77" s="9">
        <f t="shared" si="18"/>
        <v>0</v>
      </c>
      <c r="B77">
        <f t="shared" si="8"/>
        <v>0</v>
      </c>
      <c r="C77" s="4" t="str">
        <f t="shared" si="9"/>
        <v/>
      </c>
      <c r="D77" s="4" t="str">
        <f t="shared" si="10"/>
        <v/>
      </c>
      <c r="E77" s="33">
        <f>+SUMIF('Base Data'!$A:$A,B77,'Base Data'!N:N)</f>
        <v>0</v>
      </c>
      <c r="F77" s="33">
        <f>+SUMIF('Base Data'!$A:$A,B77,'Base Data'!M:M)</f>
        <v>0</v>
      </c>
      <c r="G77" s="9">
        <f>+SUMIF('Base Data'!A:A,B77,'Base Data'!C:C)</f>
        <v>0</v>
      </c>
      <c r="H77" s="4" t="str">
        <f t="shared" si="16"/>
        <v/>
      </c>
      <c r="I77" s="4" t="str">
        <f t="shared" si="11"/>
        <v/>
      </c>
      <c r="J77" t="str">
        <f t="shared" si="17"/>
        <v/>
      </c>
      <c r="K77" t="str">
        <f t="shared" si="12"/>
        <v/>
      </c>
      <c r="L77" s="3">
        <f t="shared" si="13"/>
        <v>1E-4</v>
      </c>
      <c r="M77" s="9">
        <f t="shared" si="14"/>
        <v>0</v>
      </c>
      <c r="O77" s="34"/>
      <c r="P77" s="34"/>
      <c r="Q77" s="34"/>
      <c r="R77" s="34" t="s">
        <v>62</v>
      </c>
      <c r="S77" s="34"/>
    </row>
    <row r="78" spans="1:19" x14ac:dyDescent="0.25">
      <c r="A78" s="9">
        <f t="shared" si="18"/>
        <v>0</v>
      </c>
      <c r="B78">
        <f t="shared" si="8"/>
        <v>0</v>
      </c>
      <c r="C78" s="4" t="str">
        <f t="shared" si="9"/>
        <v/>
      </c>
      <c r="D78" s="4" t="str">
        <f t="shared" si="10"/>
        <v/>
      </c>
      <c r="E78" s="33">
        <f>+SUMIF('Base Data'!$A:$A,B78,'Base Data'!N:N)</f>
        <v>0</v>
      </c>
      <c r="F78" s="33">
        <f>+SUMIF('Base Data'!$A:$A,B78,'Base Data'!M:M)</f>
        <v>0</v>
      </c>
      <c r="G78" s="9">
        <f>+SUMIF('Base Data'!A:A,B78,'Base Data'!C:C)</f>
        <v>0</v>
      </c>
      <c r="H78" s="4" t="str">
        <f t="shared" si="16"/>
        <v/>
      </c>
      <c r="I78" s="4" t="str">
        <f t="shared" si="11"/>
        <v/>
      </c>
      <c r="J78" t="str">
        <f t="shared" si="17"/>
        <v/>
      </c>
      <c r="K78" t="str">
        <f t="shared" si="12"/>
        <v/>
      </c>
      <c r="L78" s="3">
        <f t="shared" si="13"/>
        <v>1E-4</v>
      </c>
      <c r="M78" s="9">
        <f t="shared" si="14"/>
        <v>0</v>
      </c>
      <c r="O78" s="34"/>
      <c r="P78" s="34"/>
      <c r="Q78" s="34"/>
      <c r="R78" s="34" t="s">
        <v>61</v>
      </c>
      <c r="S78" s="34"/>
    </row>
    <row r="79" spans="1:19" outlineLevel="1" x14ac:dyDescent="0.25">
      <c r="A79" s="9">
        <f t="shared" si="18"/>
        <v>0</v>
      </c>
      <c r="B79">
        <f t="shared" si="8"/>
        <v>0</v>
      </c>
      <c r="C79" s="4" t="str">
        <f t="shared" si="9"/>
        <v/>
      </c>
      <c r="D79" s="4" t="str">
        <f t="shared" si="10"/>
        <v/>
      </c>
      <c r="E79" s="33">
        <f>+SUMIF('Base Data'!$A:$A,B79,'Base Data'!N:N)</f>
        <v>0</v>
      </c>
      <c r="F79" s="33">
        <f>+SUMIF('Base Data'!$A:$A,B79,'Base Data'!M:M)</f>
        <v>0</v>
      </c>
      <c r="G79" s="9">
        <f>+SUMIF('Base Data'!A:A,B79,'Base Data'!C:C)</f>
        <v>0</v>
      </c>
      <c r="H79" s="4" t="str">
        <f t="shared" si="16"/>
        <v/>
      </c>
      <c r="I79" s="4" t="str">
        <f t="shared" si="11"/>
        <v/>
      </c>
      <c r="J79" t="str">
        <f t="shared" si="17"/>
        <v/>
      </c>
      <c r="K79" t="str">
        <f>+IF(OR(J79=A79,J79=""),"",1)</f>
        <v/>
      </c>
      <c r="L79" s="3">
        <f t="shared" si="13"/>
        <v>1E-4</v>
      </c>
      <c r="M79" s="9">
        <f t="shared" si="14"/>
        <v>0</v>
      </c>
      <c r="O79" s="34"/>
      <c r="P79" s="34"/>
      <c r="Q79" s="34"/>
      <c r="R79" s="34"/>
      <c r="S79" s="34"/>
    </row>
    <row r="80" spans="1:19" outlineLevel="1" x14ac:dyDescent="0.25">
      <c r="A80" s="9">
        <f t="shared" si="18"/>
        <v>0</v>
      </c>
      <c r="B80">
        <f t="shared" si="8"/>
        <v>0</v>
      </c>
      <c r="C80" s="4" t="str">
        <f t="shared" si="9"/>
        <v/>
      </c>
      <c r="D80" s="4" t="str">
        <f t="shared" si="10"/>
        <v/>
      </c>
      <c r="E80" s="33">
        <f>+SUMIF('Base Data'!$A:$A,B80,'Base Data'!N:N)</f>
        <v>0</v>
      </c>
      <c r="F80" s="33">
        <f>+SUMIF('Base Data'!$A:$A,B80,'Base Data'!M:M)</f>
        <v>0</v>
      </c>
      <c r="G80" s="9">
        <f>+SUMIF('Base Data'!A:A,B80,'Base Data'!C:C)</f>
        <v>0</v>
      </c>
      <c r="H80" s="4" t="str">
        <f t="shared" si="16"/>
        <v/>
      </c>
      <c r="I80" s="4" t="str">
        <f t="shared" si="11"/>
        <v/>
      </c>
      <c r="J80" t="str">
        <f t="shared" si="17"/>
        <v/>
      </c>
      <c r="K80" t="str">
        <f t="shared" ref="K80:K86" si="19">+IF(OR(J80=A80,J80=""),"",1)</f>
        <v/>
      </c>
      <c r="L80" s="3">
        <f t="shared" si="13"/>
        <v>1E-4</v>
      </c>
      <c r="M80" s="9">
        <f t="shared" si="14"/>
        <v>0</v>
      </c>
      <c r="O80" s="34"/>
      <c r="P80" s="34"/>
      <c r="Q80" s="34"/>
      <c r="R80" s="34"/>
      <c r="S80" s="34"/>
    </row>
    <row r="81" spans="1:19" outlineLevel="1" x14ac:dyDescent="0.25">
      <c r="A81" s="9">
        <f t="shared" si="18"/>
        <v>0</v>
      </c>
      <c r="B81">
        <f t="shared" si="8"/>
        <v>0</v>
      </c>
      <c r="C81" s="4" t="str">
        <f t="shared" si="9"/>
        <v/>
      </c>
      <c r="D81" s="4" t="str">
        <f t="shared" si="10"/>
        <v/>
      </c>
      <c r="E81" s="33">
        <f>+SUMIF('Base Data'!$A:$A,B81,'Base Data'!N:N)</f>
        <v>0</v>
      </c>
      <c r="F81" s="33">
        <f>+SUMIF('Base Data'!$A:$A,B81,'Base Data'!M:M)</f>
        <v>0</v>
      </c>
      <c r="G81" s="9">
        <f>+SUMIF('Base Data'!A:A,B81,'Base Data'!C:C)</f>
        <v>0</v>
      </c>
      <c r="H81" s="4" t="str">
        <f t="shared" si="16"/>
        <v/>
      </c>
      <c r="I81" s="4" t="str">
        <f t="shared" si="11"/>
        <v/>
      </c>
      <c r="J81" t="str">
        <f t="shared" si="17"/>
        <v/>
      </c>
      <c r="K81" t="str">
        <f t="shared" si="19"/>
        <v/>
      </c>
      <c r="L81" s="3">
        <f t="shared" si="13"/>
        <v>1E-4</v>
      </c>
      <c r="M81" s="9">
        <f t="shared" si="14"/>
        <v>0</v>
      </c>
      <c r="O81" s="34"/>
      <c r="P81" s="34"/>
      <c r="Q81" s="34"/>
      <c r="R81" s="34"/>
      <c r="S81" s="34"/>
    </row>
    <row r="82" spans="1:19" outlineLevel="1" x14ac:dyDescent="0.25">
      <c r="A82" s="9">
        <f t="shared" si="18"/>
        <v>0</v>
      </c>
      <c r="B82">
        <f t="shared" si="8"/>
        <v>0</v>
      </c>
      <c r="C82" s="4" t="str">
        <f t="shared" si="9"/>
        <v/>
      </c>
      <c r="D82" s="4" t="str">
        <f t="shared" si="10"/>
        <v/>
      </c>
      <c r="E82" s="33">
        <f>+SUMIF('Base Data'!$A:$A,B82,'Base Data'!N:N)</f>
        <v>0</v>
      </c>
      <c r="F82" s="33">
        <f>+SUMIF('Base Data'!$A:$A,B82,'Base Data'!M:M)</f>
        <v>0</v>
      </c>
      <c r="G82" s="9">
        <f>+SUMIF('Base Data'!A:A,B82,'Base Data'!C:C)</f>
        <v>0</v>
      </c>
      <c r="H82" s="4" t="str">
        <f t="shared" si="16"/>
        <v/>
      </c>
      <c r="I82" s="4" t="str">
        <f t="shared" si="11"/>
        <v/>
      </c>
      <c r="J82" t="str">
        <f t="shared" si="17"/>
        <v/>
      </c>
      <c r="K82" t="str">
        <f t="shared" si="19"/>
        <v/>
      </c>
      <c r="L82" s="3">
        <f t="shared" si="13"/>
        <v>1E-4</v>
      </c>
      <c r="M82" s="9">
        <f t="shared" si="14"/>
        <v>0</v>
      </c>
      <c r="O82" s="34"/>
      <c r="P82" s="34"/>
      <c r="Q82" s="34"/>
      <c r="R82" s="34"/>
      <c r="S82" s="34"/>
    </row>
    <row r="83" spans="1:19" outlineLevel="1" x14ac:dyDescent="0.25">
      <c r="A83" s="9">
        <f t="shared" si="18"/>
        <v>0</v>
      </c>
      <c r="B83">
        <f t="shared" si="8"/>
        <v>0</v>
      </c>
      <c r="C83" s="4" t="str">
        <f t="shared" si="9"/>
        <v/>
      </c>
      <c r="D83" s="4" t="str">
        <f t="shared" si="10"/>
        <v/>
      </c>
      <c r="E83" s="33">
        <f>+SUMIF('Base Data'!$A:$A,B83,'Base Data'!N:N)</f>
        <v>0</v>
      </c>
      <c r="F83" s="33">
        <f>+SUMIF('Base Data'!$A:$A,B83,'Base Data'!M:M)</f>
        <v>0</v>
      </c>
      <c r="G83" s="9">
        <f>+SUMIF('Base Data'!A:A,B83,'Base Data'!C:C)</f>
        <v>0</v>
      </c>
      <c r="H83" s="4" t="str">
        <f t="shared" si="16"/>
        <v/>
      </c>
      <c r="I83" s="4" t="str">
        <f t="shared" si="11"/>
        <v/>
      </c>
      <c r="J83" t="str">
        <f t="shared" si="17"/>
        <v/>
      </c>
      <c r="K83" t="str">
        <f t="shared" si="19"/>
        <v/>
      </c>
      <c r="L83" s="3">
        <f t="shared" si="13"/>
        <v>1E-4</v>
      </c>
      <c r="M83" s="9">
        <f t="shared" si="14"/>
        <v>0</v>
      </c>
      <c r="O83" s="34"/>
      <c r="P83" s="34"/>
      <c r="Q83" s="34"/>
      <c r="R83" s="34"/>
      <c r="S83" s="34"/>
    </row>
    <row r="84" spans="1:19" outlineLevel="1" x14ac:dyDescent="0.25">
      <c r="A84" s="9">
        <f t="shared" si="18"/>
        <v>0</v>
      </c>
      <c r="B84">
        <f t="shared" si="8"/>
        <v>0</v>
      </c>
      <c r="C84" s="4" t="str">
        <f t="shared" si="9"/>
        <v/>
      </c>
      <c r="D84" s="4" t="str">
        <f t="shared" si="10"/>
        <v/>
      </c>
      <c r="E84" s="33">
        <f>+SUMIF('Base Data'!$A:$A,B84,'Base Data'!N:N)</f>
        <v>0</v>
      </c>
      <c r="F84" s="33">
        <f>+SUMIF('Base Data'!$A:$A,B84,'Base Data'!M:M)</f>
        <v>0</v>
      </c>
      <c r="G84" s="9">
        <f>+SUMIF('Base Data'!A:A,B84,'Base Data'!C:C)</f>
        <v>0</v>
      </c>
      <c r="H84" s="4" t="str">
        <f t="shared" si="16"/>
        <v/>
      </c>
      <c r="I84" s="4" t="str">
        <f t="shared" si="11"/>
        <v/>
      </c>
      <c r="J84" t="str">
        <f t="shared" si="17"/>
        <v/>
      </c>
      <c r="K84" t="str">
        <f t="shared" si="19"/>
        <v/>
      </c>
      <c r="L84" s="3">
        <f t="shared" si="13"/>
        <v>1E-4</v>
      </c>
      <c r="M84" s="9">
        <f t="shared" si="14"/>
        <v>0</v>
      </c>
      <c r="O84" s="34"/>
      <c r="P84" s="34"/>
      <c r="Q84" s="34"/>
      <c r="R84" s="34"/>
      <c r="S84" s="34"/>
    </row>
    <row r="85" spans="1:19" outlineLevel="1" x14ac:dyDescent="0.25">
      <c r="A85" s="9">
        <f t="shared" si="18"/>
        <v>0</v>
      </c>
      <c r="B85">
        <f t="shared" si="8"/>
        <v>0</v>
      </c>
      <c r="C85" s="4" t="str">
        <f t="shared" si="9"/>
        <v/>
      </c>
      <c r="D85" s="4" t="str">
        <f t="shared" si="10"/>
        <v/>
      </c>
      <c r="E85" s="33">
        <f>+SUMIF('Base Data'!$A:$A,B85,'Base Data'!N:N)</f>
        <v>0</v>
      </c>
      <c r="F85" s="33">
        <f>+SUMIF('Base Data'!$A:$A,B85,'Base Data'!M:M)</f>
        <v>0</v>
      </c>
      <c r="G85" s="9">
        <f>+SUMIF('Base Data'!A:A,B85,'Base Data'!C:C)</f>
        <v>0</v>
      </c>
      <c r="H85" s="4" t="str">
        <f t="shared" si="16"/>
        <v/>
      </c>
      <c r="I85" s="4" t="str">
        <f t="shared" si="11"/>
        <v/>
      </c>
      <c r="J85" t="str">
        <f t="shared" si="17"/>
        <v/>
      </c>
      <c r="K85" t="str">
        <f t="shared" si="19"/>
        <v/>
      </c>
      <c r="L85" s="3">
        <f t="shared" si="13"/>
        <v>1E-4</v>
      </c>
      <c r="M85" s="9">
        <f t="shared" si="14"/>
        <v>0</v>
      </c>
      <c r="O85" s="34"/>
      <c r="P85" s="34"/>
      <c r="Q85" s="34"/>
      <c r="R85" s="34"/>
      <c r="S85" s="34"/>
    </row>
    <row r="86" spans="1:19" x14ac:dyDescent="0.25">
      <c r="A86" s="6" t="s">
        <v>95</v>
      </c>
      <c r="B86" s="6"/>
      <c r="C86" s="7">
        <f>SUM(C63:C85)</f>
        <v>143690</v>
      </c>
      <c r="D86" s="7">
        <f>SUM(D63:D85)</f>
        <v>223440</v>
      </c>
      <c r="K86" t="str">
        <f t="shared" si="19"/>
        <v/>
      </c>
    </row>
    <row r="88" spans="1:19" ht="30" x14ac:dyDescent="0.25">
      <c r="A88" s="42" t="s">
        <v>125</v>
      </c>
      <c r="B88" s="42"/>
      <c r="C88" s="18" t="s">
        <v>92</v>
      </c>
      <c r="D88" s="18" t="s">
        <v>139</v>
      </c>
      <c r="F88" s="18" t="s">
        <v>91</v>
      </c>
      <c r="G88" s="18" t="s">
        <v>149</v>
      </c>
      <c r="H88" s="18" t="s">
        <v>99</v>
      </c>
      <c r="I88" s="18" t="s">
        <v>100</v>
      </c>
      <c r="J88" s="37" t="s">
        <v>160</v>
      </c>
      <c r="M88" s="6" t="s">
        <v>125</v>
      </c>
    </row>
    <row r="89" spans="1:19" x14ac:dyDescent="0.25">
      <c r="A89" s="9">
        <v>1</v>
      </c>
      <c r="B89" t="str">
        <f>+M89</f>
        <v>M7 Melee</v>
      </c>
      <c r="C89" s="4">
        <f t="shared" ref="C89:C111" si="20">+IFERROR(ROUNDDOWN(H89/F89,$H$21),"")</f>
        <v>190</v>
      </c>
      <c r="D89" s="4">
        <f t="shared" ref="D89:D111" si="21">+IFERROR(C89*G89,"")</f>
        <v>7790</v>
      </c>
      <c r="F89" s="33">
        <f>+SUMIF('Base Data'!A:A,B89,'Base Data'!M:M)</f>
        <v>15303149.999999998</v>
      </c>
      <c r="G89" s="9">
        <f>+SUMIF('Base Data'!A:A,B89,'Base Data'!C:C)</f>
        <v>41</v>
      </c>
      <c r="H89" s="4">
        <f>+IF(A89=0,"",IF(A89=1,MIN($H$63:$H$85)*(1-$H$22),H88*(1-$H$22)))</f>
        <v>2975298271.5748343</v>
      </c>
      <c r="I89" s="4">
        <f>+IFERROR(C89*F89,"")</f>
        <v>2907598499.9999995</v>
      </c>
      <c r="J89">
        <f>+IFERROR(RANK(I89,$I$89:$I$104),"")</f>
        <v>1</v>
      </c>
      <c r="K89" t="str">
        <f t="shared" ref="K89:K111" si="22">+IF(OR(J89=A89,J89=""),"",1)</f>
        <v/>
      </c>
      <c r="M89" s="9" t="str">
        <f t="shared" ref="M89:M115" si="23">+CHOOSE($M$61,O89,P89,Q89,R89,S89,T89)</f>
        <v>M7 Melee</v>
      </c>
      <c r="O89" s="34" t="s">
        <v>133</v>
      </c>
      <c r="P89" s="34" t="s">
        <v>127</v>
      </c>
      <c r="Q89" s="34"/>
      <c r="R89" s="34" t="s">
        <v>133</v>
      </c>
    </row>
    <row r="90" spans="1:19" x14ac:dyDescent="0.25">
      <c r="A90" s="9">
        <f>+IF(B90&lt;&gt;0,A89+1,"")</f>
        <v>2</v>
      </c>
      <c r="B90" t="str">
        <f t="shared" ref="B90:B111" si="24">+M90</f>
        <v>M7 Flyings</v>
      </c>
      <c r="C90" s="4">
        <f t="shared" si="20"/>
        <v>190</v>
      </c>
      <c r="D90" s="4">
        <f t="shared" si="21"/>
        <v>8360</v>
      </c>
      <c r="F90" s="33">
        <f>+SUMIF('Base Data'!A:A,B90,'Base Data'!M:M)</f>
        <v>14809499.999999998</v>
      </c>
      <c r="G90" s="9">
        <f>+SUMIF('Base Data'!A:A,B90,'Base Data'!C:C)</f>
        <v>44</v>
      </c>
      <c r="H90" s="4">
        <f t="shared" ref="H90:H111" si="25">+IF(A90=0,"",IF(A90=1,MIN($H$63:$H$85)*(1-$H$22),MIN(H89,I89)*(1-$H$22)))</f>
        <v>2907307740.1499996</v>
      </c>
      <c r="I90" s="4">
        <f t="shared" ref="I90:I111" si="26">+IFERROR(C90*F90,"")</f>
        <v>2813804999.9999995</v>
      </c>
      <c r="J90">
        <f t="shared" ref="J90:J111" si="27">+IFERROR(RANK(I90,$I$89:$I$104),"")</f>
        <v>2</v>
      </c>
      <c r="K90" t="str">
        <f t="shared" si="22"/>
        <v/>
      </c>
      <c r="M90" s="9" t="str">
        <f t="shared" si="23"/>
        <v>M7 Flyings</v>
      </c>
      <c r="O90" s="34" t="s">
        <v>137</v>
      </c>
      <c r="P90" s="34" t="s">
        <v>135</v>
      </c>
      <c r="Q90" s="34"/>
      <c r="R90" s="34" t="s">
        <v>137</v>
      </c>
    </row>
    <row r="91" spans="1:19" x14ac:dyDescent="0.25">
      <c r="A91" s="9">
        <f t="shared" ref="A91:A100" si="28">+IF(B91&lt;&gt;0,A90+1,"")</f>
        <v>3</v>
      </c>
      <c r="B91" t="str">
        <f t="shared" si="24"/>
        <v>M7 Mounted</v>
      </c>
      <c r="C91" s="4">
        <f t="shared" si="20"/>
        <v>200</v>
      </c>
      <c r="D91" s="4">
        <f t="shared" si="21"/>
        <v>8200</v>
      </c>
      <c r="F91" s="33">
        <f>+SUMIF('Base Data'!A:A,B91,'Base Data'!M:M)</f>
        <v>13822199.999999998</v>
      </c>
      <c r="G91" s="9">
        <f>+SUMIF('Base Data'!A:A,B91,'Base Data'!C:C)</f>
        <v>41</v>
      </c>
      <c r="H91" s="4">
        <f t="shared" si="25"/>
        <v>2813523619.4999995</v>
      </c>
      <c r="I91" s="4">
        <f t="shared" si="26"/>
        <v>2764439999.9999995</v>
      </c>
      <c r="J91">
        <f t="shared" si="27"/>
        <v>3</v>
      </c>
      <c r="K91" t="str">
        <f t="shared" si="22"/>
        <v/>
      </c>
      <c r="M91" s="9" t="str">
        <f t="shared" si="23"/>
        <v>M7 Mounted</v>
      </c>
      <c r="O91" s="34" t="s">
        <v>134</v>
      </c>
      <c r="P91" s="34" t="s">
        <v>128</v>
      </c>
      <c r="Q91" s="34"/>
      <c r="R91" s="34" t="s">
        <v>134</v>
      </c>
    </row>
    <row r="92" spans="1:19" x14ac:dyDescent="0.25">
      <c r="A92" s="9">
        <f t="shared" si="28"/>
        <v>4</v>
      </c>
      <c r="B92" t="str">
        <f t="shared" si="24"/>
        <v>M7 Ranged</v>
      </c>
      <c r="C92" s="4">
        <f t="shared" si="20"/>
        <v>190</v>
      </c>
      <c r="D92" s="4">
        <f t="shared" si="21"/>
        <v>8170</v>
      </c>
      <c r="F92" s="33">
        <f>+SUMIF('Base Data'!A:A,B92,'Base Data'!M:M)</f>
        <v>14315849.999999998</v>
      </c>
      <c r="G92" s="9">
        <f>+SUMIF('Base Data'!A:A,B92,'Base Data'!C:C)</f>
        <v>43</v>
      </c>
      <c r="H92" s="4">
        <f t="shared" si="25"/>
        <v>2764163555.9999995</v>
      </c>
      <c r="I92" s="4">
        <f t="shared" si="26"/>
        <v>2720011499.9999995</v>
      </c>
      <c r="J92">
        <f t="shared" si="27"/>
        <v>4</v>
      </c>
      <c r="K92" t="str">
        <f t="shared" si="22"/>
        <v/>
      </c>
      <c r="M92" s="9" t="str">
        <f t="shared" si="23"/>
        <v>M7 Ranged</v>
      </c>
      <c r="O92" s="34" t="s">
        <v>132</v>
      </c>
      <c r="P92" s="34" t="s">
        <v>126</v>
      </c>
      <c r="Q92" s="34"/>
      <c r="R92" s="34" t="s">
        <v>132</v>
      </c>
    </row>
    <row r="93" spans="1:19" x14ac:dyDescent="0.25">
      <c r="A93" s="9">
        <f t="shared" si="28"/>
        <v>5</v>
      </c>
      <c r="B93" t="str">
        <f t="shared" si="24"/>
        <v>M8 Melee</v>
      </c>
      <c r="C93" s="4">
        <f t="shared" si="20"/>
        <v>80</v>
      </c>
      <c r="D93" s="4">
        <f t="shared" si="21"/>
        <v>4400</v>
      </c>
      <c r="F93" s="33">
        <f>+SUMIF('Base Data'!A:A,B93,'Base Data'!M:M)</f>
        <v>33074549.999999996</v>
      </c>
      <c r="G93" s="9">
        <f>+SUMIF('Base Data'!A:A,B93,'Base Data'!C:C)</f>
        <v>55</v>
      </c>
      <c r="H93" s="4">
        <f t="shared" si="25"/>
        <v>2719739498.8499994</v>
      </c>
      <c r="I93" s="4">
        <f t="shared" si="26"/>
        <v>2645963999.9999995</v>
      </c>
      <c r="J93">
        <f t="shared" si="27"/>
        <v>5</v>
      </c>
      <c r="K93" t="str">
        <f t="shared" si="22"/>
        <v/>
      </c>
      <c r="M93" s="9" t="str">
        <f t="shared" si="23"/>
        <v>M8 Melee</v>
      </c>
      <c r="O93" s="34" t="s">
        <v>130</v>
      </c>
      <c r="P93" s="34" t="s">
        <v>130</v>
      </c>
      <c r="Q93" s="34"/>
      <c r="R93" s="34" t="s">
        <v>130</v>
      </c>
    </row>
    <row r="94" spans="1:19" x14ac:dyDescent="0.25">
      <c r="A94" s="9">
        <f t="shared" si="28"/>
        <v>6</v>
      </c>
      <c r="B94" t="str">
        <f t="shared" si="24"/>
        <v>M8 Flyings</v>
      </c>
      <c r="C94" s="4">
        <f t="shared" si="20"/>
        <v>80</v>
      </c>
      <c r="D94" s="4">
        <f t="shared" si="21"/>
        <v>4320</v>
      </c>
      <c r="F94" s="33">
        <f>+SUMIF('Base Data'!A:A,B94,'Base Data'!M:M)</f>
        <v>32580899.999999996</v>
      </c>
      <c r="G94" s="9">
        <f>+SUMIF('Base Data'!A:A,B94,'Base Data'!C:C)</f>
        <v>54</v>
      </c>
      <c r="H94" s="4">
        <f t="shared" si="25"/>
        <v>2645699403.5999994</v>
      </c>
      <c r="I94" s="4">
        <f t="shared" si="26"/>
        <v>2606471999.9999995</v>
      </c>
      <c r="J94">
        <f t="shared" si="27"/>
        <v>6</v>
      </c>
      <c r="K94" t="str">
        <f t="shared" si="22"/>
        <v/>
      </c>
      <c r="M94" s="9" t="str">
        <f t="shared" si="23"/>
        <v>M8 Flyings</v>
      </c>
      <c r="O94" s="34" t="s">
        <v>136</v>
      </c>
      <c r="P94" s="34" t="s">
        <v>136</v>
      </c>
      <c r="Q94" s="34"/>
      <c r="R94" s="34" t="s">
        <v>136</v>
      </c>
    </row>
    <row r="95" spans="1:19" x14ac:dyDescent="0.25">
      <c r="A95" s="9">
        <f t="shared" si="28"/>
        <v>7</v>
      </c>
      <c r="B95" t="str">
        <f t="shared" si="24"/>
        <v>M8 Mounted</v>
      </c>
      <c r="C95" s="4">
        <f t="shared" si="20"/>
        <v>80</v>
      </c>
      <c r="D95" s="4">
        <f t="shared" si="21"/>
        <v>4240</v>
      </c>
      <c r="F95" s="33">
        <f>+SUMIF('Base Data'!A:A,B95,'Base Data'!M:M)</f>
        <v>32087249.999999996</v>
      </c>
      <c r="G95" s="9">
        <f>+SUMIF('Base Data'!A:A,B95,'Base Data'!C:C)</f>
        <v>53</v>
      </c>
      <c r="H95" s="4">
        <f t="shared" si="25"/>
        <v>2606211352.7999997</v>
      </c>
      <c r="I95" s="4">
        <f t="shared" si="26"/>
        <v>2566979999.9999995</v>
      </c>
      <c r="J95">
        <f t="shared" si="27"/>
        <v>7</v>
      </c>
      <c r="K95" t="str">
        <f t="shared" si="22"/>
        <v/>
      </c>
      <c r="M95" s="9" t="str">
        <f t="shared" si="23"/>
        <v>M8 Mounted</v>
      </c>
      <c r="O95" s="34" t="s">
        <v>131</v>
      </c>
      <c r="P95" s="34" t="s">
        <v>131</v>
      </c>
      <c r="Q95" s="34"/>
      <c r="R95" s="34" t="s">
        <v>131</v>
      </c>
    </row>
    <row r="96" spans="1:19" x14ac:dyDescent="0.25">
      <c r="A96" s="9">
        <f t="shared" si="28"/>
        <v>8</v>
      </c>
      <c r="B96" t="str">
        <f t="shared" si="24"/>
        <v>M8 Ranged</v>
      </c>
      <c r="C96" s="4">
        <f t="shared" si="20"/>
        <v>80</v>
      </c>
      <c r="D96" s="4">
        <f t="shared" si="21"/>
        <v>4160</v>
      </c>
      <c r="F96" s="33">
        <f>+SUMIF('Base Data'!A:A,B96,'Base Data'!M:M)</f>
        <v>31593599.999999996</v>
      </c>
      <c r="G96" s="9">
        <f>+SUMIF('Base Data'!A:A,B96,'Base Data'!C:C)</f>
        <v>52</v>
      </c>
      <c r="H96" s="4">
        <f t="shared" si="25"/>
        <v>2566723301.9999995</v>
      </c>
      <c r="I96" s="4">
        <f t="shared" si="26"/>
        <v>2527487999.9999995</v>
      </c>
      <c r="J96">
        <f t="shared" si="27"/>
        <v>8</v>
      </c>
      <c r="K96" t="str">
        <f t="shared" si="22"/>
        <v/>
      </c>
      <c r="M96" s="9" t="str">
        <f t="shared" si="23"/>
        <v>M8 Ranged</v>
      </c>
      <c r="O96" s="34" t="s">
        <v>129</v>
      </c>
      <c r="P96" s="34" t="s">
        <v>129</v>
      </c>
      <c r="Q96" s="34"/>
      <c r="R96" s="34" t="s">
        <v>129</v>
      </c>
    </row>
    <row r="97" spans="1:18" x14ac:dyDescent="0.25">
      <c r="A97" s="9">
        <f t="shared" si="28"/>
        <v>9</v>
      </c>
      <c r="B97" t="str">
        <f t="shared" si="24"/>
        <v>M9 Melee</v>
      </c>
      <c r="C97" s="4">
        <f t="shared" si="20"/>
        <v>40</v>
      </c>
      <c r="D97" s="4">
        <f t="shared" si="21"/>
        <v>2200</v>
      </c>
      <c r="F97" s="33">
        <f>+SUMIF('Base Data'!A:A,B97,'Base Data'!M:M)</f>
        <v>59731649.999999993</v>
      </c>
      <c r="G97" s="9">
        <f>+SUMIF('Base Data'!A:A,B97,'Base Data'!C:C)</f>
        <v>55</v>
      </c>
      <c r="H97" s="4">
        <f t="shared" si="25"/>
        <v>2527235251.1999993</v>
      </c>
      <c r="I97" s="4">
        <f t="shared" si="26"/>
        <v>2389265999.9999995</v>
      </c>
      <c r="J97">
        <f t="shared" si="27"/>
        <v>9</v>
      </c>
      <c r="K97" t="str">
        <f t="shared" si="22"/>
        <v/>
      </c>
      <c r="M97" s="9" t="str">
        <f t="shared" si="23"/>
        <v>M9 Melee</v>
      </c>
      <c r="O97" s="34" t="s">
        <v>127</v>
      </c>
      <c r="P97" s="34" t="s">
        <v>133</v>
      </c>
      <c r="Q97" s="34"/>
      <c r="R97" s="34" t="s">
        <v>127</v>
      </c>
    </row>
    <row r="98" spans="1:18" x14ac:dyDescent="0.25">
      <c r="A98" s="9">
        <f t="shared" si="28"/>
        <v>10</v>
      </c>
      <c r="B98" t="str">
        <f t="shared" si="24"/>
        <v>M9 Flyings</v>
      </c>
      <c r="C98" s="4">
        <f t="shared" si="20"/>
        <v>40</v>
      </c>
      <c r="D98" s="4">
        <f t="shared" si="21"/>
        <v>2160</v>
      </c>
      <c r="F98" s="33">
        <f>+SUMIF('Base Data'!A:A,B98,'Base Data'!M:M)</f>
        <v>58744349.999999993</v>
      </c>
      <c r="G98" s="9">
        <f>+SUMIF('Base Data'!A:A,B98,'Base Data'!C:C)</f>
        <v>54</v>
      </c>
      <c r="H98" s="4">
        <f t="shared" si="25"/>
        <v>2389027073.3999996</v>
      </c>
      <c r="I98" s="4">
        <f t="shared" si="26"/>
        <v>2349773999.9999995</v>
      </c>
      <c r="J98">
        <f t="shared" si="27"/>
        <v>10</v>
      </c>
      <c r="K98" t="str">
        <f t="shared" si="22"/>
        <v/>
      </c>
      <c r="M98" s="9" t="str">
        <f t="shared" si="23"/>
        <v>M9 Flyings</v>
      </c>
      <c r="O98" s="34" t="s">
        <v>135</v>
      </c>
      <c r="P98" s="34" t="s">
        <v>137</v>
      </c>
      <c r="Q98" s="34"/>
      <c r="R98" s="34" t="s">
        <v>135</v>
      </c>
    </row>
    <row r="99" spans="1:18" x14ac:dyDescent="0.25">
      <c r="A99" s="9">
        <f t="shared" si="28"/>
        <v>11</v>
      </c>
      <c r="B99" t="str">
        <f t="shared" si="24"/>
        <v>M9 Mounted</v>
      </c>
      <c r="C99" s="4">
        <f t="shared" si="20"/>
        <v>40</v>
      </c>
      <c r="D99" s="4">
        <f t="shared" si="21"/>
        <v>2120</v>
      </c>
      <c r="F99" s="33">
        <f>+SUMIF('Base Data'!A:A,B99,'Base Data'!M:M)</f>
        <v>57757049.999999993</v>
      </c>
      <c r="G99" s="9">
        <f>+SUMIF('Base Data'!A:A,B99,'Base Data'!C:C)</f>
        <v>53</v>
      </c>
      <c r="H99" s="4">
        <f t="shared" si="25"/>
        <v>2349539022.5999994</v>
      </c>
      <c r="I99" s="4">
        <f t="shared" si="26"/>
        <v>2310281999.9999995</v>
      </c>
      <c r="J99">
        <f t="shared" si="27"/>
        <v>11</v>
      </c>
      <c r="K99" t="str">
        <f t="shared" si="22"/>
        <v/>
      </c>
      <c r="M99" s="9" t="str">
        <f t="shared" si="23"/>
        <v>M9 Mounted</v>
      </c>
      <c r="O99" s="34" t="s">
        <v>128</v>
      </c>
      <c r="P99" s="34" t="s">
        <v>134</v>
      </c>
      <c r="Q99" s="34"/>
      <c r="R99" s="34" t="s">
        <v>128</v>
      </c>
    </row>
    <row r="100" spans="1:18" x14ac:dyDescent="0.25">
      <c r="A100" s="9">
        <f t="shared" si="28"/>
        <v>12</v>
      </c>
      <c r="B100" t="str">
        <f t="shared" si="24"/>
        <v>M9 Ranged</v>
      </c>
      <c r="C100" s="4">
        <f t="shared" si="20"/>
        <v>40</v>
      </c>
      <c r="D100" s="4">
        <f t="shared" si="21"/>
        <v>2080</v>
      </c>
      <c r="F100" s="33">
        <f>+SUMIF('Base Data'!A:A,B100,'Base Data'!M:M)</f>
        <v>56769749.999999993</v>
      </c>
      <c r="G100" s="9">
        <f>+SUMIF('Base Data'!A:A,B100,'Base Data'!C:C)</f>
        <v>52</v>
      </c>
      <c r="H100" s="4">
        <f t="shared" si="25"/>
        <v>2310050971.7999997</v>
      </c>
      <c r="I100" s="4">
        <f t="shared" si="26"/>
        <v>2270789999.9999995</v>
      </c>
      <c r="J100">
        <f t="shared" si="27"/>
        <v>12</v>
      </c>
      <c r="K100" t="str">
        <f t="shared" si="22"/>
        <v/>
      </c>
      <c r="M100" s="9" t="str">
        <f t="shared" si="23"/>
        <v>M9 Ranged</v>
      </c>
      <c r="O100" s="34" t="s">
        <v>126</v>
      </c>
      <c r="P100" s="34" t="s">
        <v>132</v>
      </c>
      <c r="Q100" s="34"/>
      <c r="R100" s="34" t="s">
        <v>126</v>
      </c>
    </row>
    <row r="101" spans="1:18" hidden="1" outlineLevel="1" x14ac:dyDescent="0.25">
      <c r="B101">
        <f t="shared" si="24"/>
        <v>0</v>
      </c>
      <c r="C101" s="4" t="str">
        <f t="shared" si="20"/>
        <v/>
      </c>
      <c r="D101" s="4" t="str">
        <f t="shared" si="21"/>
        <v/>
      </c>
      <c r="F101" s="33">
        <f>+SUMIF('Base Data'!A:A,B101,'Base Data'!M:M)</f>
        <v>0</v>
      </c>
      <c r="G101" s="9">
        <f>+SUMIF('Base Data'!A:A,B101,'Base Data'!C:C)</f>
        <v>0</v>
      </c>
      <c r="H101" s="4" t="str">
        <f t="shared" si="25"/>
        <v/>
      </c>
      <c r="I101" s="4" t="str">
        <f t="shared" si="26"/>
        <v/>
      </c>
      <c r="J101" t="str">
        <f t="shared" si="27"/>
        <v/>
      </c>
      <c r="K101" t="str">
        <f t="shared" si="22"/>
        <v/>
      </c>
      <c r="M101" s="9">
        <f t="shared" si="23"/>
        <v>0</v>
      </c>
      <c r="O101" s="34"/>
      <c r="P101" s="34"/>
      <c r="Q101" s="34"/>
    </row>
    <row r="102" spans="1:18" hidden="1" outlineLevel="1" x14ac:dyDescent="0.25">
      <c r="B102">
        <f t="shared" si="24"/>
        <v>0</v>
      </c>
      <c r="C102" s="4" t="str">
        <f t="shared" si="20"/>
        <v/>
      </c>
      <c r="D102" s="4" t="str">
        <f t="shared" si="21"/>
        <v/>
      </c>
      <c r="F102" s="33">
        <f>+SUMIF('Base Data'!A:A,B102,'Base Data'!M:M)</f>
        <v>0</v>
      </c>
      <c r="G102" s="9">
        <f>+SUMIF('Base Data'!A:A,B102,'Base Data'!C:C)</f>
        <v>0</v>
      </c>
      <c r="H102" s="4" t="str">
        <f t="shared" si="25"/>
        <v/>
      </c>
      <c r="I102" s="4" t="str">
        <f t="shared" si="26"/>
        <v/>
      </c>
      <c r="J102" t="str">
        <f t="shared" si="27"/>
        <v/>
      </c>
      <c r="K102" t="str">
        <f t="shared" si="22"/>
        <v/>
      </c>
      <c r="M102" s="9">
        <f t="shared" si="23"/>
        <v>0</v>
      </c>
      <c r="O102" s="34"/>
      <c r="P102" s="34"/>
      <c r="Q102" s="34"/>
    </row>
    <row r="103" spans="1:18" hidden="1" outlineLevel="1" x14ac:dyDescent="0.25">
      <c r="B103">
        <f t="shared" si="24"/>
        <v>0</v>
      </c>
      <c r="C103" s="4" t="str">
        <f t="shared" si="20"/>
        <v/>
      </c>
      <c r="D103" s="4" t="str">
        <f t="shared" si="21"/>
        <v/>
      </c>
      <c r="F103" s="33">
        <f>+SUMIF('Base Data'!A:A,B103,'Base Data'!M:M)</f>
        <v>0</v>
      </c>
      <c r="G103" s="9">
        <f>+SUMIF('Base Data'!A:A,B103,'Base Data'!C:C)</f>
        <v>0</v>
      </c>
      <c r="H103" s="4" t="str">
        <f t="shared" si="25"/>
        <v/>
      </c>
      <c r="I103" s="4" t="str">
        <f t="shared" si="26"/>
        <v/>
      </c>
      <c r="J103" t="str">
        <f t="shared" si="27"/>
        <v/>
      </c>
      <c r="K103" t="str">
        <f t="shared" si="22"/>
        <v/>
      </c>
      <c r="M103" s="9">
        <f t="shared" si="23"/>
        <v>0</v>
      </c>
      <c r="O103" s="34"/>
      <c r="P103" s="34"/>
      <c r="Q103" s="34"/>
    </row>
    <row r="104" spans="1:18" hidden="1" outlineLevel="1" x14ac:dyDescent="0.25">
      <c r="B104">
        <f t="shared" si="24"/>
        <v>0</v>
      </c>
      <c r="C104" s="4" t="str">
        <f t="shared" si="20"/>
        <v/>
      </c>
      <c r="D104" s="4" t="str">
        <f t="shared" si="21"/>
        <v/>
      </c>
      <c r="F104" s="33">
        <f>+SUMIF('Base Data'!A:A,B104,'Base Data'!M:M)</f>
        <v>0</v>
      </c>
      <c r="G104" s="9">
        <f>+SUMIF('Base Data'!A:A,B104,'Base Data'!C:C)</f>
        <v>0</v>
      </c>
      <c r="H104" s="4" t="str">
        <f t="shared" si="25"/>
        <v/>
      </c>
      <c r="I104" s="4" t="str">
        <f t="shared" si="26"/>
        <v/>
      </c>
      <c r="J104" t="str">
        <f t="shared" si="27"/>
        <v/>
      </c>
      <c r="K104" t="str">
        <f t="shared" si="22"/>
        <v/>
      </c>
      <c r="M104" s="9">
        <f t="shared" si="23"/>
        <v>0</v>
      </c>
      <c r="O104" s="34"/>
      <c r="P104" s="34"/>
      <c r="Q104" s="34"/>
    </row>
    <row r="105" spans="1:18" hidden="1" outlineLevel="1" x14ac:dyDescent="0.25">
      <c r="B105">
        <f t="shared" si="24"/>
        <v>0</v>
      </c>
      <c r="C105" s="4" t="str">
        <f t="shared" si="20"/>
        <v/>
      </c>
      <c r="D105" s="4" t="str">
        <f t="shared" si="21"/>
        <v/>
      </c>
      <c r="F105" s="33">
        <f>+SUMIF('Base Data'!A:A,B105,'Base Data'!M:M)</f>
        <v>0</v>
      </c>
      <c r="G105" s="9">
        <f>+SUMIF('Base Data'!A:A,B105,'Base Data'!C:C)</f>
        <v>0</v>
      </c>
      <c r="H105" s="4" t="str">
        <f t="shared" si="25"/>
        <v/>
      </c>
      <c r="I105" s="4" t="str">
        <f t="shared" si="26"/>
        <v/>
      </c>
      <c r="J105" t="str">
        <f t="shared" si="27"/>
        <v/>
      </c>
      <c r="K105" t="str">
        <f t="shared" si="22"/>
        <v/>
      </c>
      <c r="M105" s="9">
        <f t="shared" si="23"/>
        <v>0</v>
      </c>
      <c r="O105" s="34"/>
      <c r="P105" s="34"/>
      <c r="Q105" s="34"/>
    </row>
    <row r="106" spans="1:18" hidden="1" outlineLevel="1" x14ac:dyDescent="0.25">
      <c r="B106">
        <f t="shared" si="24"/>
        <v>0</v>
      </c>
      <c r="C106" s="4" t="str">
        <f t="shared" si="20"/>
        <v/>
      </c>
      <c r="D106" s="4" t="str">
        <f t="shared" si="21"/>
        <v/>
      </c>
      <c r="F106" s="33">
        <f>+SUMIF('Base Data'!A:A,B106,'Base Data'!M:M)</f>
        <v>0</v>
      </c>
      <c r="G106" s="9">
        <f>+SUMIF('Base Data'!A:A,B106,'Base Data'!C:C)</f>
        <v>0</v>
      </c>
      <c r="H106" s="4" t="str">
        <f t="shared" si="25"/>
        <v/>
      </c>
      <c r="I106" s="4" t="str">
        <f t="shared" si="26"/>
        <v/>
      </c>
      <c r="J106" t="str">
        <f t="shared" si="27"/>
        <v/>
      </c>
      <c r="K106" t="str">
        <f t="shared" si="22"/>
        <v/>
      </c>
      <c r="M106" s="9">
        <f t="shared" si="23"/>
        <v>0</v>
      </c>
      <c r="O106" s="34"/>
      <c r="P106" s="34"/>
      <c r="Q106" s="34"/>
    </row>
    <row r="107" spans="1:18" hidden="1" outlineLevel="1" x14ac:dyDescent="0.25">
      <c r="B107">
        <f t="shared" si="24"/>
        <v>0</v>
      </c>
      <c r="C107" s="4" t="str">
        <f t="shared" si="20"/>
        <v/>
      </c>
      <c r="D107" s="4" t="str">
        <f t="shared" si="21"/>
        <v/>
      </c>
      <c r="F107" s="33">
        <f>+SUMIF('Base Data'!A:A,B107,'Base Data'!M:M)</f>
        <v>0</v>
      </c>
      <c r="G107" s="9">
        <f>+SUMIF('Base Data'!A:A,B107,'Base Data'!C:C)</f>
        <v>0</v>
      </c>
      <c r="H107" s="4" t="str">
        <f t="shared" si="25"/>
        <v/>
      </c>
      <c r="I107" s="4" t="str">
        <f t="shared" si="26"/>
        <v/>
      </c>
      <c r="J107" t="str">
        <f t="shared" si="27"/>
        <v/>
      </c>
      <c r="K107" t="str">
        <f t="shared" si="22"/>
        <v/>
      </c>
      <c r="M107" s="9">
        <f t="shared" si="23"/>
        <v>0</v>
      </c>
      <c r="O107" s="34"/>
      <c r="P107" s="34"/>
      <c r="Q107" s="34"/>
    </row>
    <row r="108" spans="1:18" hidden="1" outlineLevel="1" x14ac:dyDescent="0.25">
      <c r="B108">
        <f t="shared" si="24"/>
        <v>0</v>
      </c>
      <c r="C108" s="4" t="str">
        <f t="shared" si="20"/>
        <v/>
      </c>
      <c r="D108" s="4" t="str">
        <f t="shared" si="21"/>
        <v/>
      </c>
      <c r="F108" s="33">
        <f>+SUMIF('Base Data'!A:A,B108,'Base Data'!M:M)</f>
        <v>0</v>
      </c>
      <c r="G108" s="9">
        <f>+SUMIF('Base Data'!A:A,B108,'Base Data'!C:C)</f>
        <v>0</v>
      </c>
      <c r="H108" s="4" t="str">
        <f t="shared" si="25"/>
        <v/>
      </c>
      <c r="I108" s="4" t="str">
        <f t="shared" si="26"/>
        <v/>
      </c>
      <c r="J108" t="str">
        <f t="shared" si="27"/>
        <v/>
      </c>
      <c r="K108" t="str">
        <f t="shared" si="22"/>
        <v/>
      </c>
      <c r="M108" s="9">
        <f t="shared" si="23"/>
        <v>0</v>
      </c>
      <c r="O108" s="34"/>
      <c r="P108" s="34"/>
      <c r="Q108" s="34"/>
    </row>
    <row r="109" spans="1:18" hidden="1" outlineLevel="1" x14ac:dyDescent="0.25">
      <c r="B109">
        <f t="shared" si="24"/>
        <v>0</v>
      </c>
      <c r="C109" s="4" t="str">
        <f t="shared" si="20"/>
        <v/>
      </c>
      <c r="D109" s="4" t="str">
        <f t="shared" si="21"/>
        <v/>
      </c>
      <c r="F109" s="33">
        <f>+SUMIF('Base Data'!A:A,B109,'Base Data'!M:M)</f>
        <v>0</v>
      </c>
      <c r="G109" s="9">
        <f>+SUMIF('Base Data'!A:A,B109,'Base Data'!C:C)</f>
        <v>0</v>
      </c>
      <c r="H109" s="4" t="str">
        <f t="shared" si="25"/>
        <v/>
      </c>
      <c r="I109" s="4" t="str">
        <f t="shared" si="26"/>
        <v/>
      </c>
      <c r="J109" t="str">
        <f t="shared" si="27"/>
        <v/>
      </c>
      <c r="K109" t="str">
        <f t="shared" si="22"/>
        <v/>
      </c>
      <c r="M109" s="9">
        <f t="shared" si="23"/>
        <v>0</v>
      </c>
      <c r="O109" s="34"/>
      <c r="P109" s="34"/>
      <c r="Q109" s="34"/>
    </row>
    <row r="110" spans="1:18" hidden="1" outlineLevel="1" x14ac:dyDescent="0.25">
      <c r="B110">
        <f t="shared" si="24"/>
        <v>0</v>
      </c>
      <c r="C110" s="4" t="str">
        <f t="shared" si="20"/>
        <v/>
      </c>
      <c r="D110" s="4" t="str">
        <f t="shared" si="21"/>
        <v/>
      </c>
      <c r="F110" s="33">
        <f>+SUMIF('Base Data'!A:A,B110,'Base Data'!M:M)</f>
        <v>0</v>
      </c>
      <c r="G110" s="9">
        <f>+SUMIF('Base Data'!A:A,B110,'Base Data'!C:C)</f>
        <v>0</v>
      </c>
      <c r="H110" s="4" t="str">
        <f t="shared" si="25"/>
        <v/>
      </c>
      <c r="I110" s="4" t="str">
        <f t="shared" si="26"/>
        <v/>
      </c>
      <c r="J110" t="str">
        <f t="shared" si="27"/>
        <v/>
      </c>
      <c r="K110" t="str">
        <f t="shared" si="22"/>
        <v/>
      </c>
      <c r="M110" s="9">
        <f t="shared" si="23"/>
        <v>0</v>
      </c>
      <c r="O110" s="34"/>
      <c r="P110" s="34"/>
      <c r="Q110" s="34"/>
    </row>
    <row r="111" spans="1:18" hidden="1" outlineLevel="1" x14ac:dyDescent="0.25">
      <c r="B111">
        <f t="shared" si="24"/>
        <v>0</v>
      </c>
      <c r="C111" s="4" t="str">
        <f t="shared" si="20"/>
        <v/>
      </c>
      <c r="D111" s="4" t="str">
        <f t="shared" si="21"/>
        <v/>
      </c>
      <c r="F111" s="33">
        <f>+SUMIF('Base Data'!A:A,B111,'Base Data'!M:M)</f>
        <v>0</v>
      </c>
      <c r="G111" s="9">
        <f>+SUMIF('Base Data'!A:A,B111,'Base Data'!C:C)</f>
        <v>0</v>
      </c>
      <c r="H111" s="4" t="str">
        <f t="shared" si="25"/>
        <v/>
      </c>
      <c r="I111" s="4" t="str">
        <f t="shared" si="26"/>
        <v/>
      </c>
      <c r="J111" t="str">
        <f t="shared" si="27"/>
        <v/>
      </c>
      <c r="K111" t="str">
        <f t="shared" si="22"/>
        <v/>
      </c>
      <c r="M111" s="9">
        <f t="shared" si="23"/>
        <v>0</v>
      </c>
      <c r="O111" s="34"/>
      <c r="P111" s="34"/>
      <c r="Q111" s="34"/>
    </row>
    <row r="112" spans="1:18" collapsed="1" x14ac:dyDescent="0.25">
      <c r="C112" s="7">
        <f>SUM(C89:C111)</f>
        <v>1250</v>
      </c>
      <c r="D112" s="7">
        <f>SUM(D89:D111)</f>
        <v>58200</v>
      </c>
      <c r="M112" s="9">
        <f t="shared" si="23"/>
        <v>0</v>
      </c>
    </row>
    <row r="113" spans="13:13" x14ac:dyDescent="0.25">
      <c r="M113" s="9">
        <f t="shared" si="23"/>
        <v>0</v>
      </c>
    </row>
    <row r="114" spans="13:13" x14ac:dyDescent="0.25">
      <c r="M114" s="9">
        <f t="shared" si="23"/>
        <v>0</v>
      </c>
    </row>
    <row r="115" spans="13:13" x14ac:dyDescent="0.25">
      <c r="M115" s="9">
        <f t="shared" si="23"/>
        <v>0</v>
      </c>
    </row>
  </sheetData>
  <mergeCells count="3">
    <mergeCell ref="A62:B62"/>
    <mergeCell ref="A88:B88"/>
    <mergeCell ref="A1:B1"/>
  </mergeCells>
  <dataValidations count="1">
    <dataValidation type="list" allowBlank="1" showInputMessage="1" showErrorMessage="1" sqref="H1" xr:uid="{C9C7BB6D-D1C5-419A-BB08-86F6878546A1}">
      <formula1>$O$60:$S$60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2FFA3F-6DC6-4E3C-88B9-75C048D1AB43}">
          <x14:formula1>
            <xm:f>'Base Data'!$A$26:$A$83</xm:f>
          </x14:formula1>
          <xm:sqref>O63:O87 P63:S85</xm:sqref>
        </x14:dataValidation>
        <x14:dataValidation type="list" allowBlank="1" showInputMessage="1" showErrorMessage="1" xr:uid="{52CDAB39-1F7F-4A43-BFA3-17C34A00CD38}">
          <x14:formula1>
            <xm:f>'Base Data'!$A$86:$A$113</xm:f>
          </x14:formula1>
          <xm:sqref>R89:R100 O89:Q111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35F2-53A3-4C21-A7B8-BEF7A417C404}">
  <dimension ref="A1:Q21"/>
  <sheetViews>
    <sheetView workbookViewId="0">
      <selection activeCell="I10" sqref="I10"/>
    </sheetView>
  </sheetViews>
  <sheetFormatPr defaultRowHeight="15" x14ac:dyDescent="0.25"/>
  <cols>
    <col min="2" max="2" width="9.875" bestFit="1" customWidth="1"/>
    <col min="3" max="3" width="11.375" bestFit="1" customWidth="1"/>
    <col min="4" max="4" width="3.125" customWidth="1"/>
    <col min="7" max="7" width="9.875" bestFit="1" customWidth="1"/>
    <col min="9" max="9" width="13.5" bestFit="1" customWidth="1"/>
    <col min="15" max="15" width="9.875" bestFit="1" customWidth="1"/>
  </cols>
  <sheetData>
    <row r="1" spans="1:15" x14ac:dyDescent="0.25">
      <c r="A1" s="41" t="s">
        <v>183</v>
      </c>
      <c r="B1" s="41"/>
      <c r="C1" s="41"/>
      <c r="E1" s="41" t="s">
        <v>184</v>
      </c>
      <c r="F1" s="41"/>
      <c r="G1" s="41"/>
      <c r="I1" s="41" t="s">
        <v>185</v>
      </c>
      <c r="J1" s="41"/>
      <c r="K1" s="41"/>
      <c r="M1" s="41" t="s">
        <v>186</v>
      </c>
      <c r="N1" s="41"/>
      <c r="O1" s="41"/>
    </row>
    <row r="2" spans="1:15" x14ac:dyDescent="0.25">
      <c r="A2">
        <v>5000</v>
      </c>
      <c r="B2">
        <v>558</v>
      </c>
      <c r="C2" s="4">
        <f>+A2*B2</f>
        <v>2790000</v>
      </c>
      <c r="E2">
        <v>5000</v>
      </c>
      <c r="F2">
        <v>0</v>
      </c>
      <c r="G2" s="4">
        <f>+E2*F2</f>
        <v>0</v>
      </c>
      <c r="I2">
        <v>7500</v>
      </c>
      <c r="J2">
        <v>3</v>
      </c>
      <c r="K2" s="4">
        <f>+I2*J2</f>
        <v>22500</v>
      </c>
      <c r="M2">
        <v>50000</v>
      </c>
      <c r="N2">
        <v>150</v>
      </c>
      <c r="O2" s="4">
        <f>+M2*N2</f>
        <v>7500000</v>
      </c>
    </row>
    <row r="3" spans="1:15" x14ac:dyDescent="0.25">
      <c r="A3">
        <v>3000</v>
      </c>
      <c r="B3">
        <v>30</v>
      </c>
      <c r="C3" s="4">
        <f t="shared" ref="C3:C11" si="0">+A3*B3</f>
        <v>90000</v>
      </c>
      <c r="E3">
        <v>15000</v>
      </c>
      <c r="F3">
        <v>360</v>
      </c>
      <c r="G3" s="4">
        <f t="shared" ref="G3" si="1">+E3*F3</f>
        <v>5400000</v>
      </c>
      <c r="I3">
        <v>15000</v>
      </c>
      <c r="J3">
        <v>645</v>
      </c>
      <c r="K3" s="4">
        <f t="shared" ref="K3" si="2">+I3*J3</f>
        <v>9675000</v>
      </c>
      <c r="M3">
        <v>100000</v>
      </c>
      <c r="N3">
        <v>130</v>
      </c>
      <c r="O3" s="4">
        <f t="shared" ref="O3" si="3">+M3*N3</f>
        <v>13000000</v>
      </c>
    </row>
    <row r="4" spans="1:15" x14ac:dyDescent="0.25">
      <c r="A4">
        <v>1500</v>
      </c>
      <c r="B4">
        <v>36</v>
      </c>
      <c r="C4" s="4">
        <f t="shared" si="0"/>
        <v>54000</v>
      </c>
      <c r="E4" s="6" t="s">
        <v>95</v>
      </c>
      <c r="F4" s="6"/>
      <c r="G4" s="7">
        <f>SUM(G2:G3)</f>
        <v>5400000</v>
      </c>
      <c r="I4" s="6" t="s">
        <v>95</v>
      </c>
      <c r="J4" s="6"/>
      <c r="K4" s="7">
        <f>SUM(K2:K3)</f>
        <v>9697500</v>
      </c>
      <c r="M4" s="6" t="s">
        <v>95</v>
      </c>
      <c r="N4" s="6"/>
      <c r="O4" s="7">
        <f>SUM(O2:O3)</f>
        <v>20500000</v>
      </c>
    </row>
    <row r="5" spans="1:15" x14ac:dyDescent="0.25">
      <c r="A5">
        <v>1200</v>
      </c>
      <c r="B5">
        <v>0</v>
      </c>
      <c r="C5" s="4">
        <f t="shared" si="0"/>
        <v>0</v>
      </c>
    </row>
    <row r="6" spans="1:15" x14ac:dyDescent="0.25">
      <c r="A6">
        <v>1000</v>
      </c>
      <c r="B6">
        <v>0</v>
      </c>
      <c r="C6" s="4">
        <f t="shared" si="0"/>
        <v>0</v>
      </c>
    </row>
    <row r="7" spans="1:15" x14ac:dyDescent="0.25">
      <c r="A7">
        <v>750</v>
      </c>
      <c r="B7">
        <v>34</v>
      </c>
      <c r="C7" s="4">
        <f t="shared" si="0"/>
        <v>25500</v>
      </c>
    </row>
    <row r="8" spans="1:15" x14ac:dyDescent="0.25">
      <c r="A8">
        <v>500</v>
      </c>
      <c r="B8">
        <v>0</v>
      </c>
      <c r="C8" s="4">
        <f t="shared" si="0"/>
        <v>0</v>
      </c>
    </row>
    <row r="9" spans="1:15" x14ac:dyDescent="0.25">
      <c r="A9">
        <v>250</v>
      </c>
      <c r="B9">
        <v>0</v>
      </c>
      <c r="C9" s="4">
        <f t="shared" si="0"/>
        <v>0</v>
      </c>
    </row>
    <row r="10" spans="1:15" x14ac:dyDescent="0.25">
      <c r="A10">
        <v>45</v>
      </c>
      <c r="B10">
        <v>0</v>
      </c>
      <c r="C10" s="4">
        <f t="shared" si="0"/>
        <v>0</v>
      </c>
    </row>
    <row r="11" spans="1:15" x14ac:dyDescent="0.25">
      <c r="A11">
        <v>15</v>
      </c>
      <c r="B11">
        <v>0</v>
      </c>
      <c r="C11" s="4">
        <f t="shared" si="0"/>
        <v>0</v>
      </c>
    </row>
    <row r="12" spans="1:15" x14ac:dyDescent="0.25">
      <c r="A12" s="6" t="s">
        <v>95</v>
      </c>
      <c r="B12" s="6"/>
      <c r="C12" s="7">
        <f>SUM(C2:C11)</f>
        <v>2959500</v>
      </c>
    </row>
    <row r="15" spans="1:15" x14ac:dyDescent="0.25">
      <c r="B15" s="4">
        <v>700000</v>
      </c>
      <c r="C15" s="4">
        <f>+B15*100</f>
        <v>70000000</v>
      </c>
    </row>
    <row r="16" spans="1:15" x14ac:dyDescent="0.25">
      <c r="G16">
        <v>35</v>
      </c>
    </row>
    <row r="17" spans="7:17" x14ac:dyDescent="0.25">
      <c r="G17">
        <v>35</v>
      </c>
      <c r="O17" s="40"/>
      <c r="P17" s="40"/>
      <c r="Q17" s="5"/>
    </row>
    <row r="18" spans="7:17" x14ac:dyDescent="0.25">
      <c r="G18">
        <v>17</v>
      </c>
      <c r="O18" s="40"/>
      <c r="P18" s="40"/>
      <c r="Q18" s="5"/>
    </row>
    <row r="19" spans="7:17" x14ac:dyDescent="0.25">
      <c r="G19">
        <f>SUM(G16:G18)</f>
        <v>87</v>
      </c>
      <c r="O19" s="40"/>
      <c r="P19" s="40"/>
      <c r="Q19" s="5"/>
    </row>
    <row r="20" spans="7:17" x14ac:dyDescent="0.25">
      <c r="G20">
        <v>17</v>
      </c>
      <c r="H20">
        <f>1000/G20</f>
        <v>58.823529411764703</v>
      </c>
      <c r="I20" s="5">
        <f>+H20*700000</f>
        <v>41176470.588235289</v>
      </c>
    </row>
    <row r="21" spans="7:17" x14ac:dyDescent="0.25">
      <c r="I21" s="5">
        <f>+I20*12</f>
        <v>494117647.05882347</v>
      </c>
    </row>
  </sheetData>
  <mergeCells count="4">
    <mergeCell ref="A1:C1"/>
    <mergeCell ref="E1:G1"/>
    <mergeCell ref="I1:K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v5</vt:lpstr>
      <vt:lpstr>Base Data</vt:lpstr>
      <vt:lpstr>Calcs</vt:lpstr>
      <vt:lpstr>RSS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Antonis Koulis, NBG</dc:creator>
  <cp:lastModifiedBy>Antonis Koulis, NBG</cp:lastModifiedBy>
  <dcterms:created xsi:type="dcterms:W3CDTF">2025-09-25T15:22:38Z</dcterms:created>
  <dcterms:modified xsi:type="dcterms:W3CDTF">2025-11-09T12:23:58Z</dcterms:modified>
</cp:coreProperties>
</file>